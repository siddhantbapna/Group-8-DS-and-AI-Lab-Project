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SAI\5\"/>
    </mc:Choice>
  </mc:AlternateContent>
  <xr:revisionPtr revIDLastSave="0" documentId="13_ncr:40009_{AF73DD16-025D-46F6-B94C-526D78C025D2}" xr6:coauthVersionLast="36" xr6:coauthVersionMax="36" xr10:uidLastSave="{00000000-0000-0000-0000-000000000000}"/>
  <bookViews>
    <workbookView xWindow="0" yWindow="0" windowWidth="19200" windowHeight="6810"/>
  </bookViews>
  <sheets>
    <sheet name="Patient Data" sheetId="2" r:id="rId1"/>
    <sheet name="Summary Statistics" sheetId="1" r:id="rId2"/>
  </sheets>
  <calcPr calcId="0"/>
</workbook>
</file>

<file path=xl/calcChain.xml><?xml version="1.0" encoding="utf-8"?>
<calcChain xmlns="http://schemas.openxmlformats.org/spreadsheetml/2006/main">
  <c r="F7" i="1" l="1"/>
  <c r="F6" i="1"/>
  <c r="F5" i="1"/>
  <c r="F4" i="1"/>
  <c r="E7" i="1"/>
  <c r="E6" i="1"/>
  <c r="E5" i="1"/>
  <c r="E4" i="1"/>
  <c r="D7" i="1"/>
  <c r="D6" i="1"/>
  <c r="D5" i="1"/>
  <c r="D4" i="1"/>
  <c r="B5" i="1"/>
  <c r="B4" i="1"/>
  <c r="C7" i="1"/>
  <c r="C6" i="1"/>
  <c r="C4" i="1"/>
  <c r="C5" i="1"/>
  <c r="B7" i="1"/>
  <c r="B6" i="1"/>
  <c r="B15" i="1"/>
  <c r="B14" i="1"/>
  <c r="B12" i="1"/>
  <c r="B13" i="1"/>
  <c r="D23" i="1"/>
  <c r="C23" i="1"/>
  <c r="B23" i="1"/>
  <c r="D22" i="1"/>
  <c r="C22" i="1"/>
  <c r="B22" i="1"/>
  <c r="D21" i="1"/>
  <c r="C21" i="1"/>
  <c r="B21" i="1"/>
  <c r="D20" i="1"/>
  <c r="C20" i="1"/>
  <c r="B20" i="1"/>
  <c r="B30" i="1" l="1"/>
  <c r="B29" i="1"/>
  <c r="B28" i="1"/>
  <c r="B35" i="1"/>
  <c r="B36" i="1"/>
  <c r="B37" i="1"/>
  <c r="B38" i="1"/>
</calcChain>
</file>

<file path=xl/sharedStrings.xml><?xml version="1.0" encoding="utf-8"?>
<sst xmlns="http://schemas.openxmlformats.org/spreadsheetml/2006/main" count="309" uniqueCount="215">
  <si>
    <t>4.1 Dice score statistics</t>
  </si>
  <si>
    <t>Label</t>
  </si>
  <si>
    <t>Mean</t>
  </si>
  <si>
    <t>Std (population)</t>
  </si>
  <si>
    <t>Median</t>
  </si>
  <si>
    <t>Min</t>
  </si>
  <si>
    <t>Max</t>
  </si>
  <si>
    <t>TC</t>
  </si>
  <si>
    <t>WT</t>
  </si>
  <si>
    <t>ET</t>
  </si>
  <si>
    <t>Average</t>
  </si>
  <si>
    <t>4.2 Ground-truth vs Predicted volume correlation (Pearson)</t>
  </si>
  <si>
    <t>Metric</t>
  </si>
  <si>
    <t>Pearson correlation (GT vs Pred)</t>
  </si>
  <si>
    <t>TC_corr</t>
  </si>
  <si>
    <t>WT_corr</t>
  </si>
  <si>
    <t>ET_corr</t>
  </si>
  <si>
    <t>total_corr</t>
  </si>
  <si>
    <t>4.3 Linear regression: predicted = slope * GT + intercept (GT ? Pred)</t>
  </si>
  <si>
    <t>Slope</t>
  </si>
  <si>
    <t>Intercept</t>
  </si>
  <si>
    <t>R Square</t>
  </si>
  <si>
    <t>SUMMARY OUTPUT</t>
  </si>
  <si>
    <t>Regression Statistics</t>
  </si>
  <si>
    <t>Total</t>
  </si>
  <si>
    <t>Multiple R</t>
  </si>
  <si>
    <t>4.4 Missed detections (Predicted volume = 0 while GT &gt; 0)</t>
  </si>
  <si>
    <t>Adjusted R Square</t>
  </si>
  <si>
    <t>Standard Error</t>
  </si>
  <si>
    <t>Missed Counts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</si>
  <si>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</si>
  <si>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</si>
  <si>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</si>
  <si>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</si>
  <si>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</si>
  <si>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</si>
  <si>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</si>
  <si>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</si>
  <si>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4.5 Volume error (relative absolute error = |pred_total - gt_total| / gt_total)</t>
  </si>
  <si>
    <t>Residual</t>
  </si>
  <si>
    <t>Relative Absolute Error</t>
  </si>
  <si>
    <t>Value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</si>
  <si>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</si>
  <si>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</si>
  <si>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</si>
  <si>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</si>
  <si>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</si>
  <si>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</si>
  <si>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</si>
  <si>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75th Percentile</t>
  </si>
  <si>
    <t>gt_TC</t>
  </si>
  <si>
    <t>gt_WT</t>
  </si>
  <si>
    <t>gt_ET</t>
  </si>
  <si>
    <t>gt_total</t>
  </si>
  <si>
    <t>patient_id</t>
  </si>
  <si>
    <t>pred_ET</t>
  </si>
  <si>
    <t>pred_TC</t>
  </si>
  <si>
    <t>pred_WT</t>
  </si>
  <si>
    <t>dice_ET</t>
  </si>
  <si>
    <t>dice_TC</t>
  </si>
  <si>
    <t>dice_WT</t>
  </si>
  <si>
    <t>dice_mean</t>
  </si>
  <si>
    <t>pred_total</t>
  </si>
  <si>
    <t>volume_error_abs</t>
  </si>
  <si>
    <t>volume_error_rel</t>
  </si>
  <si>
    <t>BraTS-GLI-02405-100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</si>
  <si>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</si>
  <si>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</si>
  <si>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</si>
  <si>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</si>
  <si>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</si>
  <si>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</si>
  <si>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</si>
  <si>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</si>
  <si>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</si>
  <si>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</si>
  <si>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</si>
  <si>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</si>
  <si>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</si>
  <si>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</si>
  <si>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</si>
  <si>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</si>
  <si>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</si>
  <si>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BraTS-GLI-02418-102</t>
  </si>
  <si>
    <t>BraTS-GLI-02419-100</t>
  </si>
  <si>
    <t>BraTS-GLI-02420-100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</si>
  <si>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</si>
  <si>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</si>
  <si>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</si>
  <si>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</si>
  <si>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</si>
  <si>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</si>
  <si>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</si>
  <si>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</si>
  <si>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</si>
  <si>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</si>
  <si>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</si>
  <si>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</si>
  <si>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</si>
  <si>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</si>
  <si>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</si>
  <si>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</si>
  <si>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</si>
  <si>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</si>
  <si>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</si>
  <si>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BraTS-GLI-02478-100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</si>
  <si>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</si>
  <si>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</si>
  <si>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</si>
  <si>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</si>
  <si>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</si>
  <si>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</si>
  <si>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</si>
  <si>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</si>
  <si>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</si>
  <si>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</si>
  <si>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</si>
  <si>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</si>
  <si>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</si>
  <si>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</si>
  <si>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</si>
  <si>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</si>
  <si>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</si>
  <si>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</si>
  <si>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</si>
  <si>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</si>
  <si>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</si>
  <si>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</si>
  <si>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</si>
  <si>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</si>
  <si>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</si>
  <si>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</si>
  <si>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</si>
  <si>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</si>
  <si>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</si>
  <si>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</si>
  <si>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</si>
  <si>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</si>
  <si>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</si>
  <si>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</si>
  <si>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</si>
  <si>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</si>
  <si>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</si>
  <si>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</si>
  <si>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</si>
  <si>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</si>
  <si>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</si>
  <si>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</si>
  <si>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</si>
  <si>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BraTS-GLI-02501-100</t>
  </si>
  <si>
    <t>BraTS-GLI-02501-101</t>
  </si>
  <si>
    <t>BraTS-GLI-02502-100</t>
  </si>
  <si>
    <t>BraTS-GLI-02503-100</t>
  </si>
  <si>
    <t>BraTS-GLI-02503-101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</si>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</sst>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6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" formatCode="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O151" totalsRowShown="0">
  <autoFilter ref="A1:O151"/>
  <tableColumns count="15">
    <tableColumn id="1" name="patient_id"/>
    <tableColumn id="2" name="gt_ET"/>
    <tableColumn id="3" name="gt_TC"/>
    <tableColumn id="4" name="gt_WT"/>
    <tableColumn id="5" name="pred_ET"/>
    <tableColumn id="6" name="pred_TC"/>
    <tableColumn id="7" name="pred_WT"/>
    <tableColumn id="8" name="dice_ET" dataDxfId="14"/>
    <tableColumn id="9" name="dice_TC" dataDxfId="13"/>
    <tableColumn id="10" name="dice_WT" dataDxfId="12"/>
    <tableColumn id="11" name="dice_mean" dataDxfId="11"/>
    <tableColumn id="12" name="gt_total"/>
    <tableColumn id="13" name="pred_total"/>
    <tableColumn id="14" name="volume_error_abs"/>
    <tableColumn id="15" name="volume_error_rel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F7" totalsRowShown="0">
  <autoFilter ref="A3:F7"/>
  <tableColumns count="6">
    <tableColumn id="1" name="Label"/>
    <tableColumn id="2" name="Mean" dataDxfId="10">
      <calculatedColumnFormula>AVERAGE(Table1[dice_TC])</calculatedColumnFormula>
    </tableColumn>
    <tableColumn id="3" name="Std (population)" dataDxfId="9"/>
    <tableColumn id="4" name="Median" dataDxfId="8"/>
    <tableColumn id="5" name="Min" dataDxfId="7"/>
    <tableColumn id="6" name="Max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1:B15" totalsRowShown="0">
  <autoFilter ref="A11:B15"/>
  <tableColumns count="2">
    <tableColumn id="1" name="Metric"/>
    <tableColumn id="2" name="Pearson correlation (GT vs Pred)" dataDxfId="5">
      <calculatedColumnFormula>PEARSON(Table1[gt_TC],Table1[pred_TC])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9:D23" totalsRowShown="0">
  <autoFilter ref="A19:D23"/>
  <tableColumns count="4">
    <tableColumn id="1" name="Label"/>
    <tableColumn id="2" name="Slope" dataDxfId="4"/>
    <tableColumn id="3" name="Intercept" dataDxfId="3"/>
    <tableColumn id="4" name="R Square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7:B30" totalsRowShown="0">
  <autoFilter ref="A27:B30"/>
  <tableColumns count="2">
    <tableColumn id="1" name="Label"/>
    <tableColumn id="2" name="Missed Counts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4:B38" totalsRowShown="0">
  <autoFilter ref="A34:B38"/>
  <tableColumns count="2">
    <tableColumn id="1" name="Relative Absolute Error"/>
    <tableColumn id="2" name="Value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abSelected="1" topLeftCell="A13" workbookViewId="0">
      <selection activeCell="I16" sqref="I16"/>
    </sheetView>
  </sheetViews>
  <sheetFormatPr defaultRowHeight="14.5" x14ac:dyDescent="0.35"/>
  <cols>
    <col min="1" max="1" width="18.26953125" bestFit="1" customWidth="1"/>
    <col min="2" max="2" width="7.7265625" bestFit="1" customWidth="1"/>
    <col min="3" max="3" width="7.81640625" bestFit="1" customWidth="1"/>
    <col min="4" max="4" width="8.54296875" bestFit="1" customWidth="1"/>
    <col min="5" max="5" width="10" bestFit="1" customWidth="1"/>
    <col min="6" max="6" width="10.08984375" bestFit="1" customWidth="1"/>
    <col min="7" max="7" width="10.81640625" bestFit="1" customWidth="1"/>
    <col min="8" max="10" width="11.81640625" bestFit="1" customWidth="1"/>
    <col min="11" max="11" width="12.1796875" bestFit="1" customWidth="1"/>
    <col min="12" max="12" width="9.7265625" bestFit="1" customWidth="1"/>
    <col min="13" max="13" width="12" bestFit="1" customWidth="1"/>
    <col min="14" max="14" width="18.54296875" bestFit="1" customWidth="1"/>
    <col min="15" max="15" width="17.81640625" bestFit="1" customWidth="1"/>
  </cols>
  <sheetData>
    <row r="1" spans="1:15" x14ac:dyDescent="0.35">
      <c r="A1" t="s">
        <v>54</v>
      </c>
      <c r="B1" t="s">
        <v>52</v>
      </c>
      <c r="C1" t="s">
        <v>50</v>
      </c>
      <c r="D1" t="s">
        <v>51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53</v>
      </c>
      <c r="M1" t="s">
        <v>62</v>
      </c>
      <c r="N1" t="s">
        <v>63</v>
      </c>
      <c r="O1" t="s">
        <v>64</v>
      </c>
    </row>
    <row r="2" spans="1:15" x14ac:dyDescent="0.35">
      <c r="A2" t="s">
        <v>65</v>
      </c>
      <c r="B2">
        <v>6093</v>
      </c>
      <c r="C2">
        <v>8419</v>
      </c>
      <c r="D2">
        <v>12529</v>
      </c>
      <c r="E2">
        <v>6636</v>
      </c>
      <c r="F2">
        <v>8817</v>
      </c>
      <c r="G2">
        <v>14535</v>
      </c>
      <c r="H2">
        <v>0.806033467</v>
      </c>
      <c r="I2">
        <v>0.91169644900000002</v>
      </c>
      <c r="J2">
        <v>0.88405261599999996</v>
      </c>
      <c r="K2">
        <v>0.86726084400000003</v>
      </c>
      <c r="L2">
        <v>27041</v>
      </c>
      <c r="M2">
        <v>29988</v>
      </c>
      <c r="N2">
        <v>2947</v>
      </c>
      <c r="O2">
        <v>0.108982656</v>
      </c>
    </row>
    <row r="3" spans="1:15" x14ac:dyDescent="0.35">
      <c r="A3" t="s">
        <v>66</v>
      </c>
      <c r="B3">
        <v>2783</v>
      </c>
      <c r="C3">
        <v>2986</v>
      </c>
      <c r="D3">
        <v>17646</v>
      </c>
      <c r="E3">
        <v>2626</v>
      </c>
      <c r="F3">
        <v>2797</v>
      </c>
      <c r="G3">
        <v>14686</v>
      </c>
      <c r="H3">
        <v>0.85302274</v>
      </c>
      <c r="I3">
        <v>0.89296213000000002</v>
      </c>
      <c r="J3">
        <v>0.84696276100000001</v>
      </c>
      <c r="K3">
        <v>0.86431587700000001</v>
      </c>
      <c r="L3">
        <v>23415</v>
      </c>
      <c r="M3">
        <v>20109</v>
      </c>
      <c r="N3">
        <v>3306</v>
      </c>
      <c r="O3">
        <v>0.141191544</v>
      </c>
    </row>
    <row r="4" spans="1:15" x14ac:dyDescent="0.35">
      <c r="A4" t="s">
        <v>67</v>
      </c>
      <c r="B4">
        <v>9221</v>
      </c>
      <c r="C4">
        <v>14598</v>
      </c>
      <c r="D4">
        <v>24042</v>
      </c>
      <c r="E4">
        <v>8377</v>
      </c>
      <c r="F4">
        <v>14188</v>
      </c>
      <c r="G4">
        <v>24331</v>
      </c>
      <c r="H4">
        <v>0.78645300600000001</v>
      </c>
      <c r="I4">
        <v>0.93177238900000003</v>
      </c>
      <c r="J4">
        <v>0.93084985399999998</v>
      </c>
      <c r="K4">
        <v>0.88302508300000004</v>
      </c>
      <c r="L4">
        <v>47861</v>
      </c>
      <c r="M4">
        <v>46896</v>
      </c>
      <c r="N4">
        <v>965</v>
      </c>
      <c r="O4">
        <v>2.0162553999999999E-2</v>
      </c>
    </row>
    <row r="5" spans="1:15" x14ac:dyDescent="0.35">
      <c r="A5" t="s">
        <v>68</v>
      </c>
      <c r="B5">
        <v>31444</v>
      </c>
      <c r="C5">
        <v>34269</v>
      </c>
      <c r="D5">
        <v>59447</v>
      </c>
      <c r="E5">
        <v>13372</v>
      </c>
      <c r="F5">
        <v>17774</v>
      </c>
      <c r="G5">
        <v>39220</v>
      </c>
      <c r="H5">
        <v>0.55172259899999998</v>
      </c>
      <c r="I5">
        <v>0.61426128400000002</v>
      </c>
      <c r="J5">
        <v>0.73832182999999996</v>
      </c>
      <c r="K5">
        <v>0.63476857099999995</v>
      </c>
      <c r="L5">
        <v>125160</v>
      </c>
      <c r="M5">
        <v>70366</v>
      </c>
      <c r="N5">
        <v>54794</v>
      </c>
      <c r="O5">
        <v>0.43779162700000002</v>
      </c>
    </row>
    <row r="6" spans="1:15" x14ac:dyDescent="0.35">
      <c r="A6" t="s">
        <v>69</v>
      </c>
      <c r="B6">
        <v>12729</v>
      </c>
      <c r="C6">
        <v>13171</v>
      </c>
      <c r="D6">
        <v>56822</v>
      </c>
      <c r="E6">
        <v>12694</v>
      </c>
      <c r="F6">
        <v>13653</v>
      </c>
      <c r="G6">
        <v>60621</v>
      </c>
      <c r="H6">
        <v>0.90390591200000003</v>
      </c>
      <c r="I6">
        <v>0.91626901299999997</v>
      </c>
      <c r="J6">
        <v>0.91949285999999997</v>
      </c>
      <c r="K6">
        <v>0.91322259500000003</v>
      </c>
      <c r="L6">
        <v>82722</v>
      </c>
      <c r="M6">
        <v>86968</v>
      </c>
      <c r="N6">
        <v>4246</v>
      </c>
      <c r="O6">
        <v>5.1328546000000003E-2</v>
      </c>
    </row>
    <row r="7" spans="1:15" x14ac:dyDescent="0.35">
      <c r="A7" t="s">
        <v>70</v>
      </c>
      <c r="B7">
        <v>13627</v>
      </c>
      <c r="C7">
        <v>17545</v>
      </c>
      <c r="D7">
        <v>80344</v>
      </c>
      <c r="E7">
        <v>11024</v>
      </c>
      <c r="F7">
        <v>17622</v>
      </c>
      <c r="G7">
        <v>86022</v>
      </c>
      <c r="H7">
        <v>0.73798223200000002</v>
      </c>
      <c r="I7">
        <v>0.85773594600000003</v>
      </c>
      <c r="J7">
        <v>0.91506677999999997</v>
      </c>
      <c r="K7">
        <v>0.83692831899999998</v>
      </c>
      <c r="L7">
        <v>111516</v>
      </c>
      <c r="M7">
        <v>114668</v>
      </c>
      <c r="N7">
        <v>3152</v>
      </c>
      <c r="O7">
        <v>2.8265002000000001E-2</v>
      </c>
    </row>
    <row r="8" spans="1:15" x14ac:dyDescent="0.35">
      <c r="A8" t="s">
        <v>71</v>
      </c>
      <c r="B8">
        <v>10420</v>
      </c>
      <c r="C8">
        <v>10668</v>
      </c>
      <c r="D8">
        <v>28989</v>
      </c>
      <c r="E8">
        <v>6563</v>
      </c>
      <c r="F8">
        <v>11818</v>
      </c>
      <c r="G8">
        <v>30225</v>
      </c>
      <c r="H8">
        <v>0.63640110699999997</v>
      </c>
      <c r="I8">
        <v>0.87307658099999996</v>
      </c>
      <c r="J8">
        <v>0.92748336499999995</v>
      </c>
      <c r="K8">
        <v>0.812320351</v>
      </c>
      <c r="L8">
        <v>50077</v>
      </c>
      <c r="M8">
        <v>48606</v>
      </c>
      <c r="N8">
        <v>1471</v>
      </c>
      <c r="O8">
        <v>2.9374763000000002E-2</v>
      </c>
    </row>
    <row r="9" spans="1:15" x14ac:dyDescent="0.35">
      <c r="A9" t="s">
        <v>72</v>
      </c>
      <c r="B9">
        <v>8244</v>
      </c>
      <c r="C9">
        <v>9618</v>
      </c>
      <c r="D9">
        <v>23167</v>
      </c>
      <c r="E9">
        <v>4223</v>
      </c>
      <c r="F9">
        <v>5981</v>
      </c>
      <c r="G9">
        <v>19723</v>
      </c>
      <c r="H9">
        <v>0.57592043000000004</v>
      </c>
      <c r="I9">
        <v>0.71132764900000001</v>
      </c>
      <c r="J9">
        <v>0.84835625999999997</v>
      </c>
      <c r="K9">
        <v>0.71186811299999997</v>
      </c>
      <c r="L9">
        <v>41029</v>
      </c>
      <c r="M9">
        <v>29927</v>
      </c>
      <c r="N9">
        <v>11102</v>
      </c>
      <c r="O9">
        <v>0.27058909599999997</v>
      </c>
    </row>
    <row r="10" spans="1:15" x14ac:dyDescent="0.35">
      <c r="A10" t="s">
        <v>73</v>
      </c>
      <c r="B10">
        <v>12116</v>
      </c>
      <c r="C10">
        <v>12116</v>
      </c>
      <c r="D10">
        <v>39194</v>
      </c>
      <c r="E10">
        <v>426</v>
      </c>
      <c r="F10">
        <v>574</v>
      </c>
      <c r="G10">
        <v>4885</v>
      </c>
      <c r="H10">
        <v>5.9958538999999998E-2</v>
      </c>
      <c r="I10">
        <v>7.2340425999999999E-2</v>
      </c>
      <c r="J10">
        <v>0.20340751800000001</v>
      </c>
      <c r="K10">
        <v>0.111902161</v>
      </c>
      <c r="L10">
        <v>63426</v>
      </c>
      <c r="M10">
        <v>5885</v>
      </c>
      <c r="N10">
        <v>57541</v>
      </c>
      <c r="O10">
        <v>0.90721470699999995</v>
      </c>
    </row>
    <row r="11" spans="1:15" x14ac:dyDescent="0.35">
      <c r="A11" t="s">
        <v>74</v>
      </c>
      <c r="B11">
        <v>10944</v>
      </c>
      <c r="C11">
        <v>12909</v>
      </c>
      <c r="D11">
        <v>74242</v>
      </c>
      <c r="E11">
        <v>11086</v>
      </c>
      <c r="F11">
        <v>14870</v>
      </c>
      <c r="G11">
        <v>76979</v>
      </c>
      <c r="H11">
        <v>0.86436677299999998</v>
      </c>
      <c r="I11">
        <v>0.88088124099999998</v>
      </c>
      <c r="J11">
        <v>0.93960494900000002</v>
      </c>
      <c r="K11">
        <v>0.89495098799999995</v>
      </c>
      <c r="L11">
        <v>98095</v>
      </c>
      <c r="M11">
        <v>102935</v>
      </c>
      <c r="N11">
        <v>4840</v>
      </c>
      <c r="O11">
        <v>4.9339925999999999E-2</v>
      </c>
    </row>
    <row r="12" spans="1:15" x14ac:dyDescent="0.35">
      <c r="A12" t="s">
        <v>75</v>
      </c>
      <c r="B12">
        <v>10862</v>
      </c>
      <c r="C12">
        <v>12954</v>
      </c>
      <c r="D12">
        <v>39624</v>
      </c>
      <c r="E12">
        <v>11320</v>
      </c>
      <c r="F12">
        <v>13859</v>
      </c>
      <c r="G12">
        <v>38665</v>
      </c>
      <c r="H12">
        <v>0.86168965799999997</v>
      </c>
      <c r="I12">
        <v>0.90769402899999996</v>
      </c>
      <c r="J12">
        <v>0.89082757499999998</v>
      </c>
      <c r="K12">
        <v>0.88673708699999998</v>
      </c>
      <c r="L12">
        <v>63440</v>
      </c>
      <c r="M12">
        <v>63844</v>
      </c>
      <c r="N12">
        <v>404</v>
      </c>
      <c r="O12">
        <v>6.3682219999999998E-3</v>
      </c>
    </row>
    <row r="13" spans="1:15" x14ac:dyDescent="0.35">
      <c r="A13" t="s">
        <v>76</v>
      </c>
      <c r="B13">
        <v>7217</v>
      </c>
      <c r="C13">
        <v>9317</v>
      </c>
      <c r="D13">
        <v>54761</v>
      </c>
      <c r="E13">
        <v>8552</v>
      </c>
      <c r="F13">
        <v>22124</v>
      </c>
      <c r="G13">
        <v>56617</v>
      </c>
      <c r="H13">
        <v>0.73803031299999999</v>
      </c>
      <c r="I13">
        <v>0.57358226499999998</v>
      </c>
      <c r="J13">
        <v>0.93700730799999998</v>
      </c>
      <c r="K13">
        <v>0.74953996199999995</v>
      </c>
      <c r="L13">
        <v>71295</v>
      </c>
      <c r="M13">
        <v>87293</v>
      </c>
      <c r="N13">
        <v>15998</v>
      </c>
      <c r="O13">
        <v>0.22439161199999999</v>
      </c>
    </row>
    <row r="14" spans="1:15" x14ac:dyDescent="0.35">
      <c r="A14" t="s">
        <v>77</v>
      </c>
      <c r="B14">
        <v>12879</v>
      </c>
      <c r="C14">
        <v>13808</v>
      </c>
      <c r="D14">
        <v>40265</v>
      </c>
      <c r="E14">
        <v>11696</v>
      </c>
      <c r="F14">
        <v>13347</v>
      </c>
      <c r="G14">
        <v>44820</v>
      </c>
      <c r="H14">
        <v>0.84703967400000002</v>
      </c>
      <c r="I14">
        <v>0.88499355599999996</v>
      </c>
      <c r="J14">
        <v>0.89033319600000005</v>
      </c>
      <c r="K14">
        <v>0.87412214200000005</v>
      </c>
      <c r="L14">
        <v>66952</v>
      </c>
      <c r="M14">
        <v>69863</v>
      </c>
      <c r="N14">
        <v>2911</v>
      </c>
      <c r="O14">
        <v>4.3478910000000003E-2</v>
      </c>
    </row>
    <row r="15" spans="1:15" x14ac:dyDescent="0.35">
      <c r="A15" t="s">
        <v>78</v>
      </c>
      <c r="B15">
        <v>3662</v>
      </c>
      <c r="C15">
        <v>3908</v>
      </c>
      <c r="D15">
        <v>17108</v>
      </c>
      <c r="E15">
        <v>2631</v>
      </c>
      <c r="F15">
        <v>3370</v>
      </c>
      <c r="G15">
        <v>14790</v>
      </c>
      <c r="H15">
        <v>0.77196885400000004</v>
      </c>
      <c r="I15">
        <v>0.78895300899999998</v>
      </c>
      <c r="J15">
        <v>0.87930277800000001</v>
      </c>
      <c r="K15">
        <v>0.81340821399999996</v>
      </c>
      <c r="L15">
        <v>24678</v>
      </c>
      <c r="M15">
        <v>20791</v>
      </c>
      <c r="N15">
        <v>3887</v>
      </c>
      <c r="O15">
        <v>0.157508712</v>
      </c>
    </row>
    <row r="16" spans="1:15" x14ac:dyDescent="0.35">
      <c r="A16" t="s">
        <v>79</v>
      </c>
      <c r="B16">
        <v>4551</v>
      </c>
      <c r="C16">
        <v>5523</v>
      </c>
      <c r="D16">
        <v>15271</v>
      </c>
      <c r="E16">
        <v>4426</v>
      </c>
      <c r="F16">
        <v>5362</v>
      </c>
      <c r="G16">
        <v>15797</v>
      </c>
      <c r="H16">
        <v>0.82566558999999995</v>
      </c>
      <c r="I16">
        <v>0.88709232900000001</v>
      </c>
      <c r="J16">
        <v>0.88933951300000003</v>
      </c>
      <c r="K16">
        <v>0.86736581099999999</v>
      </c>
      <c r="L16">
        <v>25345</v>
      </c>
      <c r="M16">
        <v>25585</v>
      </c>
      <c r="N16">
        <v>240</v>
      </c>
      <c r="O16">
        <v>9.469323E-3</v>
      </c>
    </row>
    <row r="17" spans="1:15" x14ac:dyDescent="0.35">
      <c r="A17" t="s">
        <v>80</v>
      </c>
      <c r="B17">
        <v>9948</v>
      </c>
      <c r="C17">
        <v>9948</v>
      </c>
      <c r="D17">
        <v>15985</v>
      </c>
      <c r="E17">
        <v>7599</v>
      </c>
      <c r="F17">
        <v>10262</v>
      </c>
      <c r="G17">
        <v>19489</v>
      </c>
      <c r="H17">
        <v>0.78474953000000003</v>
      </c>
      <c r="I17">
        <v>0.90351311199999995</v>
      </c>
      <c r="J17">
        <v>0.86001014799999997</v>
      </c>
      <c r="K17">
        <v>0.84942426299999996</v>
      </c>
      <c r="L17">
        <v>35881</v>
      </c>
      <c r="M17">
        <v>37350</v>
      </c>
      <c r="N17">
        <v>1469</v>
      </c>
      <c r="O17">
        <v>4.0940888000000002E-2</v>
      </c>
    </row>
    <row r="18" spans="1:15" x14ac:dyDescent="0.35">
      <c r="A18" t="s">
        <v>81</v>
      </c>
      <c r="B18">
        <v>5555</v>
      </c>
      <c r="C18">
        <v>5555</v>
      </c>
      <c r="D18">
        <v>6746</v>
      </c>
      <c r="E18">
        <v>2399</v>
      </c>
      <c r="F18">
        <v>4577</v>
      </c>
      <c r="G18">
        <v>6369</v>
      </c>
      <c r="H18">
        <v>0.53331656999999999</v>
      </c>
      <c r="I18">
        <v>0.83813659699999998</v>
      </c>
      <c r="J18">
        <v>0.82866946200000002</v>
      </c>
      <c r="K18">
        <v>0.73337421000000003</v>
      </c>
      <c r="L18">
        <v>17856</v>
      </c>
      <c r="M18">
        <v>13345</v>
      </c>
      <c r="N18">
        <v>4511</v>
      </c>
      <c r="O18">
        <v>0.25263216799999999</v>
      </c>
    </row>
    <row r="19" spans="1:15" x14ac:dyDescent="0.35">
      <c r="A19" t="s">
        <v>82</v>
      </c>
      <c r="B19">
        <v>2425</v>
      </c>
      <c r="C19">
        <v>2425</v>
      </c>
      <c r="D19">
        <v>3743</v>
      </c>
      <c r="E19">
        <v>0</v>
      </c>
      <c r="F19">
        <v>0</v>
      </c>
      <c r="G19">
        <v>349</v>
      </c>
      <c r="H19" s="1">
        <v>4.1200000000000002E-10</v>
      </c>
      <c r="I19" s="1">
        <v>4.1200000000000002E-10</v>
      </c>
      <c r="J19" s="1">
        <v>2.4399999999999998E-10</v>
      </c>
      <c r="K19" s="1">
        <v>3.5600000000000001E-10</v>
      </c>
      <c r="L19">
        <v>8593</v>
      </c>
      <c r="M19">
        <v>349</v>
      </c>
      <c r="N19">
        <v>8244</v>
      </c>
      <c r="O19">
        <v>0.95938554600000003</v>
      </c>
    </row>
    <row r="20" spans="1:15" x14ac:dyDescent="0.35">
      <c r="A20" t="s">
        <v>83</v>
      </c>
      <c r="B20">
        <v>1727</v>
      </c>
      <c r="C20">
        <v>1727</v>
      </c>
      <c r="D20">
        <v>6871</v>
      </c>
      <c r="E20">
        <v>0</v>
      </c>
      <c r="F20">
        <v>0</v>
      </c>
      <c r="G20">
        <v>125</v>
      </c>
      <c r="H20" s="1">
        <v>5.7899999999999997E-10</v>
      </c>
      <c r="I20" s="1">
        <v>5.7899999999999997E-10</v>
      </c>
      <c r="J20" s="1">
        <v>1.43E-10</v>
      </c>
      <c r="K20" s="1">
        <v>4.34E-10</v>
      </c>
      <c r="L20">
        <v>10325</v>
      </c>
      <c r="M20">
        <v>125</v>
      </c>
      <c r="N20">
        <v>10200</v>
      </c>
      <c r="O20">
        <v>0.98789346199999994</v>
      </c>
    </row>
    <row r="21" spans="1:15" x14ac:dyDescent="0.35">
      <c r="A21" t="s">
        <v>84</v>
      </c>
      <c r="B21">
        <v>10739</v>
      </c>
      <c r="C21">
        <v>10739</v>
      </c>
      <c r="D21">
        <v>15476</v>
      </c>
      <c r="E21">
        <v>2974</v>
      </c>
      <c r="F21">
        <v>10113</v>
      </c>
      <c r="G21">
        <v>15296</v>
      </c>
      <c r="H21">
        <v>0.39991249200000001</v>
      </c>
      <c r="I21">
        <v>0.85900633000000004</v>
      </c>
      <c r="J21">
        <v>0.85603795699999996</v>
      </c>
      <c r="K21">
        <v>0.70498559299999997</v>
      </c>
      <c r="L21">
        <v>36954</v>
      </c>
      <c r="M21">
        <v>28383</v>
      </c>
      <c r="N21">
        <v>8571</v>
      </c>
      <c r="O21">
        <v>0.231937003</v>
      </c>
    </row>
    <row r="22" spans="1:15" x14ac:dyDescent="0.35">
      <c r="A22" t="s">
        <v>85</v>
      </c>
      <c r="B22">
        <v>5968</v>
      </c>
      <c r="C22">
        <v>5968</v>
      </c>
      <c r="D22">
        <v>7583</v>
      </c>
      <c r="E22">
        <v>0</v>
      </c>
      <c r="F22">
        <v>0</v>
      </c>
      <c r="G22">
        <v>5073</v>
      </c>
      <c r="H22" s="1">
        <v>1.6799999999999999E-10</v>
      </c>
      <c r="I22" s="1">
        <v>1.6799999999999999E-10</v>
      </c>
      <c r="J22">
        <v>6.5581542000000007E-2</v>
      </c>
      <c r="K22">
        <v>2.1860514000000001E-2</v>
      </c>
      <c r="L22">
        <v>19519</v>
      </c>
      <c r="M22">
        <v>5073</v>
      </c>
      <c r="N22">
        <v>14446</v>
      </c>
      <c r="O22">
        <v>0.74009939000000002</v>
      </c>
    </row>
    <row r="23" spans="1:15" x14ac:dyDescent="0.35">
      <c r="A23" t="s">
        <v>86</v>
      </c>
      <c r="B23">
        <v>8855</v>
      </c>
      <c r="C23">
        <v>8855</v>
      </c>
      <c r="D23">
        <v>11382</v>
      </c>
      <c r="E23">
        <v>0</v>
      </c>
      <c r="F23">
        <v>0</v>
      </c>
      <c r="G23">
        <v>2371</v>
      </c>
      <c r="H23" s="1">
        <v>1.13E-10</v>
      </c>
      <c r="I23" s="1">
        <v>1.13E-10</v>
      </c>
      <c r="J23" s="1">
        <v>7.2700000000000005E-11</v>
      </c>
      <c r="K23" s="1">
        <v>9.9500000000000005E-11</v>
      </c>
      <c r="L23">
        <v>29092</v>
      </c>
      <c r="M23">
        <v>2371</v>
      </c>
      <c r="N23">
        <v>26721</v>
      </c>
      <c r="O23">
        <v>0.91849993100000005</v>
      </c>
    </row>
    <row r="24" spans="1:15" x14ac:dyDescent="0.35">
      <c r="A24" t="s">
        <v>87</v>
      </c>
      <c r="B24">
        <v>40695</v>
      </c>
      <c r="C24">
        <v>61825</v>
      </c>
      <c r="D24">
        <v>83133</v>
      </c>
      <c r="E24">
        <v>31718</v>
      </c>
      <c r="F24">
        <v>59977</v>
      </c>
      <c r="G24">
        <v>85341</v>
      </c>
      <c r="H24">
        <v>0.77731899000000004</v>
      </c>
      <c r="I24">
        <v>0.926372309</v>
      </c>
      <c r="J24">
        <v>0.93039875599999999</v>
      </c>
      <c r="K24">
        <v>0.87803001800000002</v>
      </c>
      <c r="L24">
        <v>185653</v>
      </c>
      <c r="M24">
        <v>177036</v>
      </c>
      <c r="N24">
        <v>8617</v>
      </c>
      <c r="O24">
        <v>4.6414548E-2</v>
      </c>
    </row>
    <row r="25" spans="1:15" x14ac:dyDescent="0.35">
      <c r="A25" t="s">
        <v>88</v>
      </c>
      <c r="B25">
        <v>2670</v>
      </c>
      <c r="C25">
        <v>2670</v>
      </c>
      <c r="D25">
        <v>19403</v>
      </c>
      <c r="E25">
        <v>0</v>
      </c>
      <c r="F25">
        <v>0</v>
      </c>
      <c r="G25">
        <v>15853</v>
      </c>
      <c r="H25" s="1">
        <v>3.75E-10</v>
      </c>
      <c r="I25" s="1">
        <v>3.75E-10</v>
      </c>
      <c r="J25">
        <v>0.79941002999999999</v>
      </c>
      <c r="K25">
        <v>0.26647000999999998</v>
      </c>
      <c r="L25">
        <v>24743</v>
      </c>
      <c r="M25">
        <v>15853</v>
      </c>
      <c r="N25">
        <v>8890</v>
      </c>
      <c r="O25">
        <v>0.35929353800000002</v>
      </c>
    </row>
    <row r="26" spans="1:15" x14ac:dyDescent="0.35">
      <c r="A26" t="s">
        <v>89</v>
      </c>
      <c r="B26">
        <v>3608</v>
      </c>
      <c r="C26">
        <v>3608</v>
      </c>
      <c r="D26">
        <v>16282</v>
      </c>
      <c r="E26">
        <v>0</v>
      </c>
      <c r="F26">
        <v>0</v>
      </c>
      <c r="G26">
        <v>8902</v>
      </c>
      <c r="H26" s="1">
        <v>2.7700000000000003E-10</v>
      </c>
      <c r="I26" s="1">
        <v>2.7700000000000003E-10</v>
      </c>
      <c r="J26">
        <v>0.63961245200000005</v>
      </c>
      <c r="K26">
        <v>0.21320415100000001</v>
      </c>
      <c r="L26">
        <v>23498</v>
      </c>
      <c r="M26">
        <v>8902</v>
      </c>
      <c r="N26">
        <v>14596</v>
      </c>
      <c r="O26">
        <v>0.621159248</v>
      </c>
    </row>
    <row r="27" spans="1:15" x14ac:dyDescent="0.35">
      <c r="A27" t="s">
        <v>90</v>
      </c>
      <c r="B27">
        <v>10926</v>
      </c>
      <c r="C27">
        <v>12260</v>
      </c>
      <c r="D27">
        <v>33354</v>
      </c>
      <c r="E27">
        <v>9116</v>
      </c>
      <c r="F27">
        <v>12315</v>
      </c>
      <c r="G27">
        <v>30304</v>
      </c>
      <c r="H27">
        <v>0.77976249900000005</v>
      </c>
      <c r="I27">
        <v>0.88431332699999998</v>
      </c>
      <c r="J27">
        <v>0.86377203199999997</v>
      </c>
      <c r="K27">
        <v>0.84261595199999995</v>
      </c>
      <c r="L27">
        <v>56540</v>
      </c>
      <c r="M27">
        <v>51735</v>
      </c>
      <c r="N27">
        <v>4805</v>
      </c>
      <c r="O27">
        <v>8.4984082000000002E-2</v>
      </c>
    </row>
    <row r="28" spans="1:15" x14ac:dyDescent="0.35">
      <c r="A28" t="s">
        <v>91</v>
      </c>
      <c r="B28">
        <v>5589</v>
      </c>
      <c r="C28">
        <v>7119</v>
      </c>
      <c r="D28">
        <v>59572</v>
      </c>
      <c r="E28">
        <v>6283</v>
      </c>
      <c r="F28">
        <v>7545</v>
      </c>
      <c r="G28">
        <v>44459</v>
      </c>
      <c r="H28">
        <v>0.82243935300000004</v>
      </c>
      <c r="I28">
        <v>0.90411893099999996</v>
      </c>
      <c r="J28">
        <v>0.78486220500000003</v>
      </c>
      <c r="K28">
        <v>0.83714016300000005</v>
      </c>
      <c r="L28">
        <v>72280</v>
      </c>
      <c r="M28">
        <v>58287</v>
      </c>
      <c r="N28">
        <v>13993</v>
      </c>
      <c r="O28">
        <v>0.193594355</v>
      </c>
    </row>
    <row r="29" spans="1:15" x14ac:dyDescent="0.35">
      <c r="A29" t="s">
        <v>92</v>
      </c>
      <c r="B29">
        <v>2200</v>
      </c>
      <c r="C29">
        <v>2674</v>
      </c>
      <c r="D29">
        <v>25383</v>
      </c>
      <c r="E29">
        <v>2257</v>
      </c>
      <c r="F29">
        <v>2777</v>
      </c>
      <c r="G29">
        <v>21120</v>
      </c>
      <c r="H29">
        <v>0.71842046199999998</v>
      </c>
      <c r="I29">
        <v>0.79141441899999998</v>
      </c>
      <c r="J29">
        <v>0.83452680499999998</v>
      </c>
      <c r="K29">
        <v>0.78145389499999995</v>
      </c>
      <c r="L29">
        <v>30257</v>
      </c>
      <c r="M29">
        <v>26154</v>
      </c>
      <c r="N29">
        <v>4103</v>
      </c>
      <c r="O29">
        <v>0.13560498400000001</v>
      </c>
    </row>
    <row r="30" spans="1:15" x14ac:dyDescent="0.35">
      <c r="A30" t="s">
        <v>93</v>
      </c>
      <c r="B30">
        <v>5151</v>
      </c>
      <c r="C30">
        <v>7011</v>
      </c>
      <c r="D30">
        <v>37846</v>
      </c>
      <c r="E30">
        <v>2907</v>
      </c>
      <c r="F30">
        <v>6168</v>
      </c>
      <c r="G30">
        <v>26524</v>
      </c>
      <c r="H30">
        <v>0.590469099</v>
      </c>
      <c r="I30">
        <v>0.58987783599999999</v>
      </c>
      <c r="J30">
        <v>0.75348764999999995</v>
      </c>
      <c r="K30">
        <v>0.64461152799999999</v>
      </c>
      <c r="L30">
        <v>50008</v>
      </c>
      <c r="M30">
        <v>35599</v>
      </c>
      <c r="N30">
        <v>14409</v>
      </c>
      <c r="O30">
        <v>0.28813389900000003</v>
      </c>
    </row>
    <row r="31" spans="1:15" x14ac:dyDescent="0.35">
      <c r="A31" t="s">
        <v>94</v>
      </c>
      <c r="B31">
        <v>20308</v>
      </c>
      <c r="C31">
        <v>20308</v>
      </c>
      <c r="D31">
        <v>37463</v>
      </c>
      <c r="E31">
        <v>300</v>
      </c>
      <c r="F31">
        <v>3072</v>
      </c>
      <c r="G31">
        <v>14047</v>
      </c>
      <c r="H31">
        <v>1.8536490999999999E-2</v>
      </c>
      <c r="I31">
        <v>0.13789563699999999</v>
      </c>
      <c r="J31">
        <v>0.491904485</v>
      </c>
      <c r="K31">
        <v>0.216112204</v>
      </c>
      <c r="L31">
        <v>78079</v>
      </c>
      <c r="M31">
        <v>17419</v>
      </c>
      <c r="N31">
        <v>60660</v>
      </c>
      <c r="O31">
        <v>0.776905442</v>
      </c>
    </row>
    <row r="32" spans="1:15" x14ac:dyDescent="0.35">
      <c r="A32" t="s">
        <v>95</v>
      </c>
      <c r="B32">
        <v>18211</v>
      </c>
      <c r="C32">
        <v>18211</v>
      </c>
      <c r="D32">
        <v>45955</v>
      </c>
      <c r="E32">
        <v>100</v>
      </c>
      <c r="F32">
        <v>2144</v>
      </c>
      <c r="G32">
        <v>19034</v>
      </c>
      <c r="H32">
        <v>5.1335260000000002E-3</v>
      </c>
      <c r="I32">
        <v>0.115155981</v>
      </c>
      <c r="J32">
        <v>0.55384757399999995</v>
      </c>
      <c r="K32">
        <v>0.224712361</v>
      </c>
      <c r="L32">
        <v>82377</v>
      </c>
      <c r="M32">
        <v>21278</v>
      </c>
      <c r="N32">
        <v>61099</v>
      </c>
      <c r="O32">
        <v>0.74169974599999999</v>
      </c>
    </row>
    <row r="33" spans="1:15" x14ac:dyDescent="0.35">
      <c r="A33" t="s">
        <v>96</v>
      </c>
      <c r="B33">
        <v>7865</v>
      </c>
      <c r="C33">
        <v>7865</v>
      </c>
      <c r="D33">
        <v>31520</v>
      </c>
      <c r="E33">
        <v>0</v>
      </c>
      <c r="F33">
        <v>0</v>
      </c>
      <c r="G33">
        <v>2700</v>
      </c>
      <c r="H33" s="1">
        <v>1.27E-10</v>
      </c>
      <c r="I33" s="1">
        <v>1.27E-10</v>
      </c>
      <c r="J33">
        <v>0.13687901799999999</v>
      </c>
      <c r="K33">
        <v>4.5626339000000002E-2</v>
      </c>
      <c r="L33">
        <v>47250</v>
      </c>
      <c r="M33">
        <v>2700</v>
      </c>
      <c r="N33">
        <v>44550</v>
      </c>
      <c r="O33">
        <v>0.94285714300000001</v>
      </c>
    </row>
    <row r="34" spans="1:15" x14ac:dyDescent="0.35">
      <c r="A34" t="s">
        <v>97</v>
      </c>
      <c r="B34">
        <v>3715</v>
      </c>
      <c r="C34">
        <v>3982</v>
      </c>
      <c r="D34">
        <v>35257</v>
      </c>
      <c r="E34">
        <v>2807</v>
      </c>
      <c r="F34">
        <v>3727</v>
      </c>
      <c r="G34">
        <v>35314</v>
      </c>
      <c r="H34">
        <v>0.73995706800000005</v>
      </c>
      <c r="I34">
        <v>0.78427811700000005</v>
      </c>
      <c r="J34">
        <v>0.91383146100000001</v>
      </c>
      <c r="K34">
        <v>0.812688882</v>
      </c>
      <c r="L34">
        <v>42954</v>
      </c>
      <c r="M34">
        <v>41848</v>
      </c>
      <c r="N34">
        <v>1106</v>
      </c>
      <c r="O34">
        <v>2.5748475E-2</v>
      </c>
    </row>
    <row r="35" spans="1:15" x14ac:dyDescent="0.35">
      <c r="A35" t="s">
        <v>98</v>
      </c>
      <c r="B35">
        <v>2989</v>
      </c>
      <c r="C35">
        <v>3161</v>
      </c>
      <c r="D35">
        <v>36431</v>
      </c>
      <c r="E35">
        <v>517</v>
      </c>
      <c r="F35">
        <v>2407</v>
      </c>
      <c r="G35">
        <v>27030</v>
      </c>
      <c r="H35">
        <v>0.24358242999999999</v>
      </c>
      <c r="I35">
        <v>0.23204022999999999</v>
      </c>
      <c r="J35">
        <v>0.744551772</v>
      </c>
      <c r="K35">
        <v>0.40672481100000002</v>
      </c>
      <c r="L35">
        <v>42581</v>
      </c>
      <c r="M35">
        <v>29954</v>
      </c>
      <c r="N35">
        <v>12627</v>
      </c>
      <c r="O35">
        <v>0.29654071100000001</v>
      </c>
    </row>
    <row r="36" spans="1:15" x14ac:dyDescent="0.35">
      <c r="A36" t="s">
        <v>99</v>
      </c>
      <c r="B36">
        <v>1596</v>
      </c>
      <c r="C36">
        <v>1626</v>
      </c>
      <c r="D36">
        <v>4146</v>
      </c>
      <c r="E36">
        <v>1229</v>
      </c>
      <c r="F36">
        <v>1373</v>
      </c>
      <c r="G36">
        <v>4367</v>
      </c>
      <c r="H36">
        <v>0.72566371699999999</v>
      </c>
      <c r="I36">
        <v>0.73357785900000005</v>
      </c>
      <c r="J36">
        <v>0.84623517000000004</v>
      </c>
      <c r="K36">
        <v>0.76849224900000002</v>
      </c>
      <c r="L36">
        <v>7368</v>
      </c>
      <c r="M36">
        <v>6969</v>
      </c>
      <c r="N36">
        <v>399</v>
      </c>
      <c r="O36">
        <v>5.4153093999999999E-2</v>
      </c>
    </row>
    <row r="37" spans="1:15" x14ac:dyDescent="0.35">
      <c r="A37" t="s">
        <v>100</v>
      </c>
      <c r="B37">
        <v>2673</v>
      </c>
      <c r="C37">
        <v>2677</v>
      </c>
      <c r="D37">
        <v>14505</v>
      </c>
      <c r="E37">
        <v>990</v>
      </c>
      <c r="F37">
        <v>1590</v>
      </c>
      <c r="G37">
        <v>12262</v>
      </c>
      <c r="H37">
        <v>0.45591045600000002</v>
      </c>
      <c r="I37">
        <v>0.59198500099999996</v>
      </c>
      <c r="J37">
        <v>0.73620502899999996</v>
      </c>
      <c r="K37">
        <v>0.59470016199999998</v>
      </c>
      <c r="L37">
        <v>19855</v>
      </c>
      <c r="M37">
        <v>14842</v>
      </c>
      <c r="N37">
        <v>5013</v>
      </c>
      <c r="O37">
        <v>0.25248048400000001</v>
      </c>
    </row>
    <row r="38" spans="1:15" x14ac:dyDescent="0.35">
      <c r="A38" t="s">
        <v>101</v>
      </c>
      <c r="B38">
        <v>3096</v>
      </c>
      <c r="C38">
        <v>3114</v>
      </c>
      <c r="D38">
        <v>27855</v>
      </c>
      <c r="E38">
        <v>2212</v>
      </c>
      <c r="F38">
        <v>2532</v>
      </c>
      <c r="G38">
        <v>30435</v>
      </c>
      <c r="H38">
        <v>0.75960813900000002</v>
      </c>
      <c r="I38">
        <v>0.794899044</v>
      </c>
      <c r="J38">
        <v>0.88581231800000004</v>
      </c>
      <c r="K38">
        <v>0.813439833</v>
      </c>
      <c r="L38">
        <v>34065</v>
      </c>
      <c r="M38">
        <v>35179</v>
      </c>
      <c r="N38">
        <v>1114</v>
      </c>
      <c r="O38">
        <v>3.2702187000000001E-2</v>
      </c>
    </row>
    <row r="39" spans="1:15" x14ac:dyDescent="0.35">
      <c r="A39" t="s">
        <v>102</v>
      </c>
      <c r="B39">
        <v>9934</v>
      </c>
      <c r="C39">
        <v>15555</v>
      </c>
      <c r="D39">
        <v>51904</v>
      </c>
      <c r="E39">
        <v>10177</v>
      </c>
      <c r="F39">
        <v>15580</v>
      </c>
      <c r="G39">
        <v>52195</v>
      </c>
      <c r="H39">
        <v>0.79538560999999997</v>
      </c>
      <c r="I39">
        <v>0.91151437300000004</v>
      </c>
      <c r="J39">
        <v>0.92381290900000002</v>
      </c>
      <c r="K39">
        <v>0.87690429700000005</v>
      </c>
      <c r="L39">
        <v>77393</v>
      </c>
      <c r="M39">
        <v>77952</v>
      </c>
      <c r="N39">
        <v>559</v>
      </c>
      <c r="O39">
        <v>7.2228750000000001E-3</v>
      </c>
    </row>
    <row r="40" spans="1:15" x14ac:dyDescent="0.35">
      <c r="A40" t="s">
        <v>103</v>
      </c>
      <c r="B40">
        <v>17671</v>
      </c>
      <c r="C40">
        <v>17671</v>
      </c>
      <c r="D40">
        <v>21388</v>
      </c>
      <c r="E40">
        <v>2881</v>
      </c>
      <c r="F40">
        <v>16827</v>
      </c>
      <c r="G40">
        <v>23551</v>
      </c>
      <c r="H40">
        <v>0.23005060299999999</v>
      </c>
      <c r="I40">
        <v>0.85964403700000003</v>
      </c>
      <c r="J40">
        <v>0.81577249200000002</v>
      </c>
      <c r="K40">
        <v>0.63515571100000001</v>
      </c>
      <c r="L40">
        <v>56730</v>
      </c>
      <c r="M40">
        <v>43259</v>
      </c>
      <c r="N40">
        <v>13471</v>
      </c>
      <c r="O40">
        <v>0.23745813499999999</v>
      </c>
    </row>
    <row r="41" spans="1:15" x14ac:dyDescent="0.35">
      <c r="A41" t="s">
        <v>104</v>
      </c>
      <c r="B41">
        <v>13231</v>
      </c>
      <c r="C41">
        <v>13231</v>
      </c>
      <c r="D41">
        <v>30620</v>
      </c>
      <c r="E41">
        <v>554</v>
      </c>
      <c r="F41">
        <v>848</v>
      </c>
      <c r="G41">
        <v>15554</v>
      </c>
      <c r="H41">
        <v>6.3547333999999997E-2</v>
      </c>
      <c r="I41">
        <v>6.8896939000000004E-2</v>
      </c>
      <c r="J41">
        <v>0.58483129</v>
      </c>
      <c r="K41">
        <v>0.23909185399999999</v>
      </c>
      <c r="L41">
        <v>57082</v>
      </c>
      <c r="M41">
        <v>16956</v>
      </c>
      <c r="N41">
        <v>40126</v>
      </c>
      <c r="O41">
        <v>0.70295364599999999</v>
      </c>
    </row>
    <row r="42" spans="1:15" x14ac:dyDescent="0.35">
      <c r="A42" t="s">
        <v>105</v>
      </c>
      <c r="B42">
        <v>15612</v>
      </c>
      <c r="C42">
        <v>15612</v>
      </c>
      <c r="D42">
        <v>58133</v>
      </c>
      <c r="E42">
        <v>5369</v>
      </c>
      <c r="F42">
        <v>19648</v>
      </c>
      <c r="G42">
        <v>60080</v>
      </c>
      <c r="H42">
        <v>0.24202850200000001</v>
      </c>
      <c r="I42">
        <v>0.80612592199999999</v>
      </c>
      <c r="J42">
        <v>0.93641139299999998</v>
      </c>
      <c r="K42">
        <v>0.661521939</v>
      </c>
      <c r="L42">
        <v>89357</v>
      </c>
      <c r="M42">
        <v>85097</v>
      </c>
      <c r="N42">
        <v>4260</v>
      </c>
      <c r="O42">
        <v>4.7673937E-2</v>
      </c>
    </row>
    <row r="43" spans="1:15" x14ac:dyDescent="0.35">
      <c r="A43" t="s">
        <v>106</v>
      </c>
      <c r="B43">
        <v>10333</v>
      </c>
      <c r="C43">
        <v>10517</v>
      </c>
      <c r="D43">
        <v>30147</v>
      </c>
      <c r="E43">
        <v>5689</v>
      </c>
      <c r="F43">
        <v>6065</v>
      </c>
      <c r="G43">
        <v>19319</v>
      </c>
      <c r="H43">
        <v>0.65285232800000004</v>
      </c>
      <c r="I43">
        <v>0.67193342199999995</v>
      </c>
      <c r="J43">
        <v>0.74944406299999999</v>
      </c>
      <c r="K43">
        <v>0.69140993699999997</v>
      </c>
      <c r="L43">
        <v>50997</v>
      </c>
      <c r="M43">
        <v>31073</v>
      </c>
      <c r="N43">
        <v>19924</v>
      </c>
      <c r="O43">
        <v>0.390689648</v>
      </c>
    </row>
    <row r="44" spans="1:15" x14ac:dyDescent="0.35">
      <c r="A44" t="s">
        <v>107</v>
      </c>
      <c r="B44">
        <v>4963</v>
      </c>
      <c r="C44">
        <v>4963</v>
      </c>
      <c r="D44">
        <v>25519</v>
      </c>
      <c r="E44">
        <v>2847</v>
      </c>
      <c r="F44">
        <v>4123</v>
      </c>
      <c r="G44">
        <v>24962</v>
      </c>
      <c r="H44">
        <v>0.63815621</v>
      </c>
      <c r="I44">
        <v>0.54523442700000002</v>
      </c>
      <c r="J44">
        <v>0.77573740599999996</v>
      </c>
      <c r="K44">
        <v>0.65304268099999996</v>
      </c>
      <c r="L44">
        <v>35445</v>
      </c>
      <c r="M44">
        <v>31932</v>
      </c>
      <c r="N44">
        <v>3513</v>
      </c>
      <c r="O44">
        <v>9.9111299E-2</v>
      </c>
    </row>
    <row r="45" spans="1:15" x14ac:dyDescent="0.35">
      <c r="A45" t="s">
        <v>108</v>
      </c>
      <c r="B45">
        <v>2792</v>
      </c>
      <c r="C45">
        <v>2792</v>
      </c>
      <c r="D45">
        <v>80249</v>
      </c>
      <c r="E45">
        <v>0</v>
      </c>
      <c r="F45">
        <v>0</v>
      </c>
      <c r="G45">
        <v>47284</v>
      </c>
      <c r="H45" s="1">
        <v>3.58E-10</v>
      </c>
      <c r="I45" s="1">
        <v>3.58E-10</v>
      </c>
      <c r="J45">
        <v>0.72704319699999997</v>
      </c>
      <c r="K45">
        <v>0.24234773200000001</v>
      </c>
      <c r="L45">
        <v>85833</v>
      </c>
      <c r="M45">
        <v>47284</v>
      </c>
      <c r="N45">
        <v>38549</v>
      </c>
      <c r="O45">
        <v>0.44911630699999999</v>
      </c>
    </row>
    <row r="46" spans="1:15" x14ac:dyDescent="0.35">
      <c r="A46" t="s">
        <v>109</v>
      </c>
      <c r="B46">
        <v>1972</v>
      </c>
      <c r="C46">
        <v>1972</v>
      </c>
      <c r="D46">
        <v>93235</v>
      </c>
      <c r="E46">
        <v>304</v>
      </c>
      <c r="F46">
        <v>4509</v>
      </c>
      <c r="G46">
        <v>74071</v>
      </c>
      <c r="H46">
        <v>5.7996485E-2</v>
      </c>
      <c r="I46">
        <v>5.5855578000000003E-2</v>
      </c>
      <c r="J46">
        <v>0.83725628500000004</v>
      </c>
      <c r="K46">
        <v>0.31703611599999998</v>
      </c>
      <c r="L46">
        <v>97179</v>
      </c>
      <c r="M46">
        <v>78884</v>
      </c>
      <c r="N46">
        <v>18295</v>
      </c>
      <c r="O46">
        <v>0.18826083800000001</v>
      </c>
    </row>
    <row r="47" spans="1:15" x14ac:dyDescent="0.35">
      <c r="A47" t="s">
        <v>110</v>
      </c>
      <c r="B47">
        <v>15560</v>
      </c>
      <c r="C47">
        <v>15560</v>
      </c>
      <c r="D47">
        <v>58208</v>
      </c>
      <c r="E47">
        <v>0</v>
      </c>
      <c r="F47">
        <v>113</v>
      </c>
      <c r="G47">
        <v>11222</v>
      </c>
      <c r="H47" s="1">
        <v>6.43E-11</v>
      </c>
      <c r="I47">
        <v>1.0719071E-2</v>
      </c>
      <c r="J47">
        <v>0.26144318</v>
      </c>
      <c r="K47">
        <v>9.0720750000000003E-2</v>
      </c>
      <c r="L47">
        <v>89328</v>
      </c>
      <c r="M47">
        <v>11335</v>
      </c>
      <c r="N47">
        <v>77993</v>
      </c>
      <c r="O47">
        <v>0.87310809599999994</v>
      </c>
    </row>
    <row r="48" spans="1:15" x14ac:dyDescent="0.35">
      <c r="A48" t="s">
        <v>111</v>
      </c>
      <c r="B48">
        <v>19307</v>
      </c>
      <c r="C48">
        <v>19328</v>
      </c>
      <c r="D48">
        <v>72997</v>
      </c>
      <c r="E48">
        <v>1250</v>
      </c>
      <c r="F48">
        <v>1885</v>
      </c>
      <c r="G48">
        <v>38036</v>
      </c>
      <c r="H48">
        <v>0.10507369799999999</v>
      </c>
      <c r="I48">
        <v>0.14934238399999999</v>
      </c>
      <c r="J48">
        <v>0.63037115099999996</v>
      </c>
      <c r="K48">
        <v>0.29492907800000001</v>
      </c>
      <c r="L48">
        <v>111632</v>
      </c>
      <c r="M48">
        <v>41171</v>
      </c>
      <c r="N48">
        <v>70461</v>
      </c>
      <c r="O48">
        <v>0.63118998100000001</v>
      </c>
    </row>
    <row r="49" spans="1:15" x14ac:dyDescent="0.35">
      <c r="A49" t="s">
        <v>112</v>
      </c>
      <c r="B49">
        <v>27816</v>
      </c>
      <c r="C49">
        <v>29123</v>
      </c>
      <c r="D49">
        <v>56119</v>
      </c>
      <c r="E49">
        <v>12859</v>
      </c>
      <c r="F49">
        <v>29996</v>
      </c>
      <c r="G49">
        <v>43141</v>
      </c>
      <c r="H49">
        <v>0.56216349099999996</v>
      </c>
      <c r="I49">
        <v>0.95191055300000005</v>
      </c>
      <c r="J49">
        <v>0.84870038299999995</v>
      </c>
      <c r="K49">
        <v>0.78759147600000001</v>
      </c>
      <c r="L49">
        <v>113058</v>
      </c>
      <c r="M49">
        <v>85996</v>
      </c>
      <c r="N49">
        <v>27062</v>
      </c>
      <c r="O49">
        <v>0.23936386600000001</v>
      </c>
    </row>
    <row r="50" spans="1:15" x14ac:dyDescent="0.35">
      <c r="A50" t="s">
        <v>113</v>
      </c>
      <c r="B50">
        <v>11479</v>
      </c>
      <c r="C50">
        <v>24598</v>
      </c>
      <c r="D50">
        <v>36082</v>
      </c>
      <c r="E50">
        <v>9850</v>
      </c>
      <c r="F50">
        <v>23514</v>
      </c>
      <c r="G50">
        <v>37575</v>
      </c>
      <c r="H50">
        <v>0.80941441199999997</v>
      </c>
      <c r="I50">
        <v>0.94704023900000001</v>
      </c>
      <c r="J50">
        <v>0.91510650699999996</v>
      </c>
      <c r="K50">
        <v>0.89052038600000005</v>
      </c>
      <c r="L50">
        <v>72159</v>
      </c>
      <c r="M50">
        <v>70939</v>
      </c>
      <c r="N50">
        <v>1220</v>
      </c>
      <c r="O50">
        <v>1.6907108000000001E-2</v>
      </c>
    </row>
    <row r="51" spans="1:15" x14ac:dyDescent="0.35">
      <c r="A51" t="s">
        <v>114</v>
      </c>
      <c r="B51">
        <v>16153</v>
      </c>
      <c r="C51">
        <v>18074</v>
      </c>
      <c r="D51">
        <v>62863</v>
      </c>
      <c r="E51">
        <v>13394</v>
      </c>
      <c r="F51">
        <v>17038</v>
      </c>
      <c r="G51">
        <v>59306</v>
      </c>
      <c r="H51">
        <v>0.74464412599999996</v>
      </c>
      <c r="I51">
        <v>0.78354978399999997</v>
      </c>
      <c r="J51">
        <v>0.90806996900000003</v>
      </c>
      <c r="K51">
        <v>0.81208796000000005</v>
      </c>
      <c r="L51">
        <v>97090</v>
      </c>
      <c r="M51">
        <v>89738</v>
      </c>
      <c r="N51">
        <v>7352</v>
      </c>
      <c r="O51">
        <v>7.5723554999999998E-2</v>
      </c>
    </row>
    <row r="52" spans="1:15" x14ac:dyDescent="0.35">
      <c r="A52" t="s">
        <v>115</v>
      </c>
      <c r="B52">
        <v>7734</v>
      </c>
      <c r="C52">
        <v>8076</v>
      </c>
      <c r="D52">
        <v>24003</v>
      </c>
      <c r="E52">
        <v>5540</v>
      </c>
      <c r="F52">
        <v>7840</v>
      </c>
      <c r="G52">
        <v>26349</v>
      </c>
      <c r="H52">
        <v>0.660991412</v>
      </c>
      <c r="I52">
        <v>0.83990952500000005</v>
      </c>
      <c r="J52">
        <v>0.90530664100000002</v>
      </c>
      <c r="K52">
        <v>0.80206919300000001</v>
      </c>
      <c r="L52">
        <v>39813</v>
      </c>
      <c r="M52">
        <v>39729</v>
      </c>
      <c r="N52">
        <v>84</v>
      </c>
      <c r="O52">
        <v>2.1098639999999999E-3</v>
      </c>
    </row>
    <row r="53" spans="1:15" x14ac:dyDescent="0.35">
      <c r="A53" t="s">
        <v>116</v>
      </c>
      <c r="B53">
        <v>9080</v>
      </c>
      <c r="C53">
        <v>9505</v>
      </c>
      <c r="D53">
        <v>28308</v>
      </c>
      <c r="E53">
        <v>6907</v>
      </c>
      <c r="F53">
        <v>8881</v>
      </c>
      <c r="G53">
        <v>23659</v>
      </c>
      <c r="H53">
        <v>0.732720335</v>
      </c>
      <c r="I53">
        <v>0.86522354000000001</v>
      </c>
      <c r="J53">
        <v>0.83772393999999994</v>
      </c>
      <c r="K53">
        <v>0.81188927200000005</v>
      </c>
      <c r="L53">
        <v>46893</v>
      </c>
      <c r="M53">
        <v>39447</v>
      </c>
      <c r="N53">
        <v>7446</v>
      </c>
      <c r="O53">
        <v>0.158787026</v>
      </c>
    </row>
    <row r="54" spans="1:15" x14ac:dyDescent="0.35">
      <c r="A54" t="s">
        <v>117</v>
      </c>
      <c r="B54">
        <v>9870</v>
      </c>
      <c r="C54">
        <v>11809</v>
      </c>
      <c r="D54">
        <v>31483</v>
      </c>
      <c r="E54">
        <v>9566</v>
      </c>
      <c r="F54">
        <v>11910</v>
      </c>
      <c r="G54">
        <v>27212</v>
      </c>
      <c r="H54">
        <v>0.83926733899999995</v>
      </c>
      <c r="I54">
        <v>0.90265188200000002</v>
      </c>
      <c r="J54">
        <v>0.86508220499999999</v>
      </c>
      <c r="K54">
        <v>0.86900047499999999</v>
      </c>
      <c r="L54">
        <v>53162</v>
      </c>
      <c r="M54">
        <v>48688</v>
      </c>
      <c r="N54">
        <v>4474</v>
      </c>
      <c r="O54">
        <v>8.4157857000000003E-2</v>
      </c>
    </row>
    <row r="55" spans="1:15" x14ac:dyDescent="0.35">
      <c r="A55" t="s">
        <v>118</v>
      </c>
      <c r="B55">
        <v>3585</v>
      </c>
      <c r="C55">
        <v>3585</v>
      </c>
      <c r="D55">
        <v>15001</v>
      </c>
      <c r="E55">
        <v>1189</v>
      </c>
      <c r="F55">
        <v>1639</v>
      </c>
      <c r="G55">
        <v>2052</v>
      </c>
      <c r="H55">
        <v>0.48261416000000001</v>
      </c>
      <c r="I55">
        <v>0.54287901999999999</v>
      </c>
      <c r="J55">
        <v>0.20195859999999999</v>
      </c>
      <c r="K55">
        <v>0.40915059300000001</v>
      </c>
      <c r="L55">
        <v>22171</v>
      </c>
      <c r="M55">
        <v>4880</v>
      </c>
      <c r="N55">
        <v>17291</v>
      </c>
      <c r="O55">
        <v>0.77989265299999999</v>
      </c>
    </row>
    <row r="56" spans="1:15" x14ac:dyDescent="0.35">
      <c r="A56" t="s">
        <v>119</v>
      </c>
      <c r="B56">
        <v>33010</v>
      </c>
      <c r="C56">
        <v>36962</v>
      </c>
      <c r="D56">
        <v>89956</v>
      </c>
      <c r="E56">
        <v>19553</v>
      </c>
      <c r="F56">
        <v>35328</v>
      </c>
      <c r="G56">
        <v>89229</v>
      </c>
      <c r="H56">
        <v>0.60673858000000003</v>
      </c>
      <c r="I56">
        <v>0.85508369100000003</v>
      </c>
      <c r="J56">
        <v>0.93352680200000004</v>
      </c>
      <c r="K56">
        <v>0.79844969099999996</v>
      </c>
      <c r="L56">
        <v>159928</v>
      </c>
      <c r="M56">
        <v>144110</v>
      </c>
      <c r="N56">
        <v>15818</v>
      </c>
      <c r="O56">
        <v>9.8907008000000005E-2</v>
      </c>
    </row>
    <row r="57" spans="1:15" x14ac:dyDescent="0.35">
      <c r="A57" t="s">
        <v>120</v>
      </c>
      <c r="B57">
        <v>3576</v>
      </c>
      <c r="C57">
        <v>3644</v>
      </c>
      <c r="D57">
        <v>16169</v>
      </c>
      <c r="E57">
        <v>3022</v>
      </c>
      <c r="F57">
        <v>3186</v>
      </c>
      <c r="G57">
        <v>16676</v>
      </c>
      <c r="H57">
        <v>0.70142467399999997</v>
      </c>
      <c r="I57">
        <v>0.74231332400000005</v>
      </c>
      <c r="J57">
        <v>0.90796163799999996</v>
      </c>
      <c r="K57">
        <v>0.78389987900000002</v>
      </c>
      <c r="L57">
        <v>23389</v>
      </c>
      <c r="M57">
        <v>22884</v>
      </c>
      <c r="N57">
        <v>505</v>
      </c>
      <c r="O57">
        <v>2.1591346000000001E-2</v>
      </c>
    </row>
    <row r="58" spans="1:15" x14ac:dyDescent="0.35">
      <c r="A58" t="s">
        <v>121</v>
      </c>
      <c r="B58">
        <v>5933</v>
      </c>
      <c r="C58">
        <v>5998</v>
      </c>
      <c r="D58">
        <v>29919</v>
      </c>
      <c r="E58">
        <v>4258</v>
      </c>
      <c r="F58">
        <v>4513</v>
      </c>
      <c r="G58">
        <v>25369</v>
      </c>
      <c r="H58">
        <v>0.69473064500000004</v>
      </c>
      <c r="I58">
        <v>0.72438397899999996</v>
      </c>
      <c r="J58">
        <v>0.83717985800000005</v>
      </c>
      <c r="K58">
        <v>0.75209816100000004</v>
      </c>
      <c r="L58">
        <v>41850</v>
      </c>
      <c r="M58">
        <v>34140</v>
      </c>
      <c r="N58">
        <v>7710</v>
      </c>
      <c r="O58">
        <v>0.18422939099999999</v>
      </c>
    </row>
    <row r="59" spans="1:15" x14ac:dyDescent="0.35">
      <c r="A59" t="s">
        <v>122</v>
      </c>
      <c r="B59">
        <v>1602</v>
      </c>
      <c r="C59">
        <v>1602</v>
      </c>
      <c r="D59">
        <v>10756</v>
      </c>
      <c r="E59">
        <v>1000</v>
      </c>
      <c r="F59">
        <v>1111</v>
      </c>
      <c r="G59">
        <v>9756</v>
      </c>
      <c r="H59">
        <v>0.66794773299999999</v>
      </c>
      <c r="I59">
        <v>0.724659049</v>
      </c>
      <c r="J59">
        <v>0.862421997</v>
      </c>
      <c r="K59">
        <v>0.75167625999999998</v>
      </c>
      <c r="L59">
        <v>13960</v>
      </c>
      <c r="M59">
        <v>11867</v>
      </c>
      <c r="N59">
        <v>2093</v>
      </c>
      <c r="O59">
        <v>0.14992836700000001</v>
      </c>
    </row>
    <row r="60" spans="1:15" x14ac:dyDescent="0.35">
      <c r="A60" t="s">
        <v>123</v>
      </c>
      <c r="B60">
        <v>5763</v>
      </c>
      <c r="C60">
        <v>6787</v>
      </c>
      <c r="D60">
        <v>15326</v>
      </c>
      <c r="E60">
        <v>3045</v>
      </c>
      <c r="F60">
        <v>3965</v>
      </c>
      <c r="G60">
        <v>5054</v>
      </c>
      <c r="H60">
        <v>0.49182561299999999</v>
      </c>
      <c r="I60">
        <v>0.60714285700000004</v>
      </c>
      <c r="J60">
        <v>0.46162904799999999</v>
      </c>
      <c r="K60">
        <v>0.52019917299999996</v>
      </c>
      <c r="L60">
        <v>27876</v>
      </c>
      <c r="M60">
        <v>12064</v>
      </c>
      <c r="N60">
        <v>15812</v>
      </c>
      <c r="O60">
        <v>0.56722628799999997</v>
      </c>
    </row>
    <row r="61" spans="1:15" x14ac:dyDescent="0.35">
      <c r="A61" t="s">
        <v>124</v>
      </c>
      <c r="B61">
        <v>12600</v>
      </c>
      <c r="C61">
        <v>14746</v>
      </c>
      <c r="D61">
        <v>51252</v>
      </c>
      <c r="E61">
        <v>9188</v>
      </c>
      <c r="F61">
        <v>11366</v>
      </c>
      <c r="G61">
        <v>50161</v>
      </c>
      <c r="H61">
        <v>0.76188727700000003</v>
      </c>
      <c r="I61">
        <v>0.80445772100000001</v>
      </c>
      <c r="J61">
        <v>0.90698431199999996</v>
      </c>
      <c r="K61">
        <v>0.82444310300000001</v>
      </c>
      <c r="L61">
        <v>78598</v>
      </c>
      <c r="M61">
        <v>70715</v>
      </c>
      <c r="N61">
        <v>7883</v>
      </c>
      <c r="O61">
        <v>0.100295173</v>
      </c>
    </row>
    <row r="62" spans="1:15" x14ac:dyDescent="0.35">
      <c r="A62" t="s">
        <v>125</v>
      </c>
      <c r="B62">
        <v>34603</v>
      </c>
      <c r="C62">
        <v>49245</v>
      </c>
      <c r="D62">
        <v>79038</v>
      </c>
      <c r="E62">
        <v>31917</v>
      </c>
      <c r="F62">
        <v>49935</v>
      </c>
      <c r="G62">
        <v>85404</v>
      </c>
      <c r="H62">
        <v>0.84164161199999998</v>
      </c>
      <c r="I62">
        <v>0.92444041099999996</v>
      </c>
      <c r="J62">
        <v>0.92992058</v>
      </c>
      <c r="K62">
        <v>0.89866753399999999</v>
      </c>
      <c r="L62">
        <v>162886</v>
      </c>
      <c r="M62">
        <v>167256</v>
      </c>
      <c r="N62">
        <v>4370</v>
      </c>
      <c r="O62">
        <v>2.6828579000000002E-2</v>
      </c>
    </row>
    <row r="63" spans="1:15" x14ac:dyDescent="0.35">
      <c r="A63" t="s">
        <v>126</v>
      </c>
      <c r="B63">
        <v>2619</v>
      </c>
      <c r="C63">
        <v>4171</v>
      </c>
      <c r="D63">
        <v>52566</v>
      </c>
      <c r="E63">
        <v>6474</v>
      </c>
      <c r="F63">
        <v>10099</v>
      </c>
      <c r="G63">
        <v>56785</v>
      </c>
      <c r="H63">
        <v>0.55075332700000001</v>
      </c>
      <c r="I63">
        <v>0.58135949499999995</v>
      </c>
      <c r="J63">
        <v>0.93323334899999999</v>
      </c>
      <c r="K63">
        <v>0.68844872400000001</v>
      </c>
      <c r="L63">
        <v>59356</v>
      </c>
      <c r="M63">
        <v>73358</v>
      </c>
      <c r="N63">
        <v>14002</v>
      </c>
      <c r="O63">
        <v>0.23589864499999999</v>
      </c>
    </row>
    <row r="64" spans="1:15" x14ac:dyDescent="0.35">
      <c r="A64" t="s">
        <v>127</v>
      </c>
      <c r="B64">
        <v>12159</v>
      </c>
      <c r="C64">
        <v>14746</v>
      </c>
      <c r="D64">
        <v>51252</v>
      </c>
      <c r="E64">
        <v>9188</v>
      </c>
      <c r="F64">
        <v>11366</v>
      </c>
      <c r="G64">
        <v>50161</v>
      </c>
      <c r="H64">
        <v>0.76881997499999999</v>
      </c>
      <c r="I64">
        <v>0.80445772100000001</v>
      </c>
      <c r="J64">
        <v>0.90698431199999996</v>
      </c>
      <c r="K64">
        <v>0.82675400200000004</v>
      </c>
      <c r="L64">
        <v>78157</v>
      </c>
      <c r="M64">
        <v>70715</v>
      </c>
      <c r="N64">
        <v>7442</v>
      </c>
      <c r="O64">
        <v>9.5218598000000002E-2</v>
      </c>
    </row>
    <row r="65" spans="1:15" x14ac:dyDescent="0.35">
      <c r="A65" t="s">
        <v>128</v>
      </c>
      <c r="B65">
        <v>34603</v>
      </c>
      <c r="C65">
        <v>49245</v>
      </c>
      <c r="D65">
        <v>79038</v>
      </c>
      <c r="E65">
        <v>31917</v>
      </c>
      <c r="F65">
        <v>49935</v>
      </c>
      <c r="G65">
        <v>85404</v>
      </c>
      <c r="H65">
        <v>0.84164161199999998</v>
      </c>
      <c r="I65">
        <v>0.92444041099999996</v>
      </c>
      <c r="J65">
        <v>0.92992058</v>
      </c>
      <c r="K65">
        <v>0.89866753399999999</v>
      </c>
      <c r="L65">
        <v>162886</v>
      </c>
      <c r="M65">
        <v>167256</v>
      </c>
      <c r="N65">
        <v>4370</v>
      </c>
      <c r="O65">
        <v>2.6828579000000002E-2</v>
      </c>
    </row>
    <row r="66" spans="1:15" x14ac:dyDescent="0.35">
      <c r="A66" t="s">
        <v>129</v>
      </c>
      <c r="B66">
        <v>20442</v>
      </c>
      <c r="C66">
        <v>27575</v>
      </c>
      <c r="D66">
        <v>87530</v>
      </c>
      <c r="E66">
        <v>18519</v>
      </c>
      <c r="F66">
        <v>26438</v>
      </c>
      <c r="G66">
        <v>82757</v>
      </c>
      <c r="H66">
        <v>0.82657016000000005</v>
      </c>
      <c r="I66">
        <v>0.91611278799999996</v>
      </c>
      <c r="J66">
        <v>0.93119263399999996</v>
      </c>
      <c r="K66">
        <v>0.89129186000000005</v>
      </c>
      <c r="L66">
        <v>135547</v>
      </c>
      <c r="M66">
        <v>127714</v>
      </c>
      <c r="N66">
        <v>7833</v>
      </c>
      <c r="O66">
        <v>5.7788074000000002E-2</v>
      </c>
    </row>
    <row r="67" spans="1:15" x14ac:dyDescent="0.35">
      <c r="A67" t="s">
        <v>130</v>
      </c>
      <c r="B67">
        <v>17333</v>
      </c>
      <c r="C67">
        <v>19355</v>
      </c>
      <c r="D67">
        <v>44706</v>
      </c>
      <c r="E67">
        <v>17031</v>
      </c>
      <c r="F67">
        <v>19976</v>
      </c>
      <c r="G67">
        <v>48123</v>
      </c>
      <c r="H67">
        <v>0.85828192299999995</v>
      </c>
      <c r="I67">
        <v>0.88896799000000004</v>
      </c>
      <c r="J67">
        <v>0.90544980600000002</v>
      </c>
      <c r="K67">
        <v>0.88423323899999995</v>
      </c>
      <c r="L67">
        <v>81394</v>
      </c>
      <c r="M67">
        <v>85130</v>
      </c>
      <c r="N67">
        <v>3736</v>
      </c>
      <c r="O67">
        <v>4.5900189000000001E-2</v>
      </c>
    </row>
    <row r="68" spans="1:15" x14ac:dyDescent="0.35">
      <c r="A68" t="s">
        <v>131</v>
      </c>
      <c r="B68">
        <v>12777</v>
      </c>
      <c r="C68">
        <v>13946</v>
      </c>
      <c r="D68">
        <v>19805</v>
      </c>
      <c r="E68">
        <v>0</v>
      </c>
      <c r="F68">
        <v>1027</v>
      </c>
      <c r="G68">
        <v>2245</v>
      </c>
      <c r="H68" s="1">
        <v>7.8300000000000004E-11</v>
      </c>
      <c r="I68" s="1">
        <v>6.6800000000000005E-11</v>
      </c>
      <c r="J68">
        <v>7.4104307999999994E-2</v>
      </c>
      <c r="K68">
        <v>2.4701436E-2</v>
      </c>
      <c r="L68">
        <v>46528</v>
      </c>
      <c r="M68">
        <v>3272</v>
      </c>
      <c r="N68">
        <v>43256</v>
      </c>
      <c r="O68">
        <v>0.92967675400000005</v>
      </c>
    </row>
    <row r="69" spans="1:15" x14ac:dyDescent="0.35">
      <c r="A69" t="s">
        <v>132</v>
      </c>
      <c r="B69">
        <v>2774</v>
      </c>
      <c r="C69">
        <v>2774</v>
      </c>
      <c r="D69">
        <v>49755</v>
      </c>
      <c r="E69">
        <v>2281</v>
      </c>
      <c r="F69">
        <v>4841</v>
      </c>
      <c r="G69">
        <v>50595</v>
      </c>
      <c r="H69">
        <v>0.52185954499999998</v>
      </c>
      <c r="I69">
        <v>0.70072225899999996</v>
      </c>
      <c r="J69">
        <v>0.94754359700000002</v>
      </c>
      <c r="K69">
        <v>0.72337513399999998</v>
      </c>
      <c r="L69">
        <v>55303</v>
      </c>
      <c r="M69">
        <v>57717</v>
      </c>
      <c r="N69">
        <v>2414</v>
      </c>
      <c r="O69">
        <v>4.3650435000000001E-2</v>
      </c>
    </row>
    <row r="70" spans="1:15" x14ac:dyDescent="0.35">
      <c r="A70" t="s">
        <v>133</v>
      </c>
      <c r="B70">
        <v>12352</v>
      </c>
      <c r="C70">
        <v>14445</v>
      </c>
      <c r="D70">
        <v>73914</v>
      </c>
      <c r="E70">
        <v>11470</v>
      </c>
      <c r="F70">
        <v>14856</v>
      </c>
      <c r="G70">
        <v>70129</v>
      </c>
      <c r="H70">
        <v>0.85903786400000004</v>
      </c>
      <c r="I70">
        <v>0.92979761800000005</v>
      </c>
      <c r="J70">
        <v>0.94170490799999995</v>
      </c>
      <c r="K70">
        <v>0.91018012999999998</v>
      </c>
      <c r="L70">
        <v>100711</v>
      </c>
      <c r="M70">
        <v>96455</v>
      </c>
      <c r="N70">
        <v>4256</v>
      </c>
      <c r="O70">
        <v>4.2259535000000001E-2</v>
      </c>
    </row>
    <row r="71" spans="1:15" x14ac:dyDescent="0.35">
      <c r="A71" t="s">
        <v>134</v>
      </c>
      <c r="B71">
        <v>9255</v>
      </c>
      <c r="C71">
        <v>11500</v>
      </c>
      <c r="D71">
        <v>47960</v>
      </c>
      <c r="E71">
        <v>9798</v>
      </c>
      <c r="F71">
        <v>12737</v>
      </c>
      <c r="G71">
        <v>47480</v>
      </c>
      <c r="H71">
        <v>0.85382879300000003</v>
      </c>
      <c r="I71">
        <v>0.92841523299999995</v>
      </c>
      <c r="J71">
        <v>0.92455993299999994</v>
      </c>
      <c r="K71">
        <v>0.90226798600000002</v>
      </c>
      <c r="L71">
        <v>68715</v>
      </c>
      <c r="M71">
        <v>70015</v>
      </c>
      <c r="N71">
        <v>1300</v>
      </c>
      <c r="O71">
        <v>1.8918721999999999E-2</v>
      </c>
    </row>
    <row r="72" spans="1:15" x14ac:dyDescent="0.35">
      <c r="A72" t="s">
        <v>135</v>
      </c>
      <c r="B72">
        <v>19547</v>
      </c>
      <c r="C72">
        <v>24220</v>
      </c>
      <c r="D72">
        <v>95469</v>
      </c>
      <c r="E72">
        <v>15953</v>
      </c>
      <c r="F72">
        <v>24496</v>
      </c>
      <c r="G72">
        <v>42707</v>
      </c>
      <c r="H72">
        <v>0.83543661999999996</v>
      </c>
      <c r="I72">
        <v>0.92351588799999995</v>
      </c>
      <c r="J72">
        <v>0.60324513700000004</v>
      </c>
      <c r="K72">
        <v>0.78739921499999999</v>
      </c>
      <c r="L72">
        <v>139236</v>
      </c>
      <c r="M72">
        <v>83156</v>
      </c>
      <c r="N72">
        <v>56080</v>
      </c>
      <c r="O72">
        <v>0.40276939899999997</v>
      </c>
    </row>
    <row r="73" spans="1:15" x14ac:dyDescent="0.35">
      <c r="A73" t="s">
        <v>136</v>
      </c>
      <c r="B73">
        <v>14532</v>
      </c>
      <c r="C73">
        <v>20087</v>
      </c>
      <c r="D73">
        <v>107906</v>
      </c>
      <c r="E73">
        <v>15298</v>
      </c>
      <c r="F73">
        <v>23486</v>
      </c>
      <c r="G73">
        <v>108245</v>
      </c>
      <c r="H73">
        <v>0.82433791499999998</v>
      </c>
      <c r="I73">
        <v>0.89160718800000005</v>
      </c>
      <c r="J73">
        <v>0.93639168900000003</v>
      </c>
      <c r="K73">
        <v>0.88411226399999998</v>
      </c>
      <c r="L73">
        <v>142525</v>
      </c>
      <c r="M73">
        <v>147029</v>
      </c>
      <c r="N73">
        <v>4504</v>
      </c>
      <c r="O73">
        <v>3.1601472999999998E-2</v>
      </c>
    </row>
    <row r="74" spans="1:15" x14ac:dyDescent="0.35">
      <c r="A74" t="s">
        <v>137</v>
      </c>
      <c r="B74">
        <v>151</v>
      </c>
      <c r="C74">
        <v>151</v>
      </c>
      <c r="D74">
        <v>26816</v>
      </c>
      <c r="E74">
        <v>501</v>
      </c>
      <c r="F74">
        <v>981</v>
      </c>
      <c r="G74">
        <v>25073</v>
      </c>
      <c r="H74" s="1">
        <v>1.5300000000000001E-9</v>
      </c>
      <c r="I74" s="1">
        <v>8.8299999999999995E-10</v>
      </c>
      <c r="J74">
        <v>0.75622964400000003</v>
      </c>
      <c r="K74">
        <v>0.25207654899999998</v>
      </c>
      <c r="L74">
        <v>27118</v>
      </c>
      <c r="M74">
        <v>26555</v>
      </c>
      <c r="N74">
        <v>563</v>
      </c>
      <c r="O74">
        <v>2.0761117999999999E-2</v>
      </c>
    </row>
    <row r="75" spans="1:15" x14ac:dyDescent="0.35">
      <c r="A75" t="s">
        <v>138</v>
      </c>
      <c r="B75">
        <v>39</v>
      </c>
      <c r="C75">
        <v>39</v>
      </c>
      <c r="D75">
        <v>27745</v>
      </c>
      <c r="E75">
        <v>399</v>
      </c>
      <c r="F75">
        <v>684</v>
      </c>
      <c r="G75">
        <v>24562</v>
      </c>
      <c r="H75" s="1">
        <v>2.28E-9</v>
      </c>
      <c r="I75" s="1">
        <v>1.38E-9</v>
      </c>
      <c r="J75">
        <v>0.74609516899999995</v>
      </c>
      <c r="K75">
        <v>0.24869839099999999</v>
      </c>
      <c r="L75">
        <v>27823</v>
      </c>
      <c r="M75">
        <v>25645</v>
      </c>
      <c r="N75">
        <v>2178</v>
      </c>
      <c r="O75">
        <v>7.8280559E-2</v>
      </c>
    </row>
    <row r="76" spans="1:15" x14ac:dyDescent="0.35">
      <c r="A76" t="s">
        <v>139</v>
      </c>
      <c r="B76">
        <v>66</v>
      </c>
      <c r="C76">
        <v>66</v>
      </c>
      <c r="D76">
        <v>5201</v>
      </c>
      <c r="E76">
        <v>71</v>
      </c>
      <c r="F76">
        <v>104</v>
      </c>
      <c r="G76">
        <v>7640</v>
      </c>
      <c r="H76" s="1">
        <v>7.3E-9</v>
      </c>
      <c r="I76" s="1">
        <v>5.8800000000000004E-9</v>
      </c>
      <c r="J76">
        <v>0.53002102600000001</v>
      </c>
      <c r="K76">
        <v>0.17667368</v>
      </c>
      <c r="L76">
        <v>5333</v>
      </c>
      <c r="M76">
        <v>7815</v>
      </c>
      <c r="N76">
        <v>2482</v>
      </c>
      <c r="O76">
        <v>0.46540408799999999</v>
      </c>
    </row>
    <row r="77" spans="1:15" x14ac:dyDescent="0.35">
      <c r="A77" t="s">
        <v>140</v>
      </c>
      <c r="B77">
        <v>0</v>
      </c>
      <c r="C77">
        <v>0</v>
      </c>
      <c r="D77">
        <v>20968</v>
      </c>
      <c r="E77">
        <v>0</v>
      </c>
      <c r="F77">
        <v>226</v>
      </c>
      <c r="G77">
        <v>11974</v>
      </c>
      <c r="H77">
        <v>1</v>
      </c>
      <c r="I77" s="1">
        <v>4.42E-9</v>
      </c>
      <c r="J77">
        <v>0.669904681</v>
      </c>
      <c r="K77">
        <v>0.55663489499999996</v>
      </c>
      <c r="L77">
        <v>20968</v>
      </c>
      <c r="M77">
        <v>12200</v>
      </c>
      <c r="N77">
        <v>8768</v>
      </c>
      <c r="O77">
        <v>0.41816100699999997</v>
      </c>
    </row>
    <row r="78" spans="1:15" x14ac:dyDescent="0.35">
      <c r="A78" t="s">
        <v>141</v>
      </c>
      <c r="B78">
        <v>0</v>
      </c>
      <c r="C78">
        <v>0</v>
      </c>
      <c r="D78">
        <v>30159</v>
      </c>
      <c r="E78">
        <v>67</v>
      </c>
      <c r="F78">
        <v>286</v>
      </c>
      <c r="G78">
        <v>27912</v>
      </c>
      <c r="H78" s="1">
        <v>1.4899999999999999E-8</v>
      </c>
      <c r="I78" s="1">
        <v>3.4999999999999999E-9</v>
      </c>
      <c r="J78">
        <v>0.82829639600000005</v>
      </c>
      <c r="K78">
        <v>0.276098805</v>
      </c>
      <c r="L78">
        <v>30159</v>
      </c>
      <c r="M78">
        <v>28265</v>
      </c>
      <c r="N78">
        <v>1894</v>
      </c>
      <c r="O78">
        <v>6.2800491E-2</v>
      </c>
    </row>
    <row r="79" spans="1:15" x14ac:dyDescent="0.35">
      <c r="A79" t="s">
        <v>142</v>
      </c>
      <c r="B79">
        <v>6119</v>
      </c>
      <c r="C79">
        <v>6119</v>
      </c>
      <c r="D79">
        <v>33638</v>
      </c>
      <c r="E79">
        <v>879</v>
      </c>
      <c r="F79">
        <v>7997</v>
      </c>
      <c r="G79">
        <v>31036</v>
      </c>
      <c r="H79">
        <v>0.184909974</v>
      </c>
      <c r="I79">
        <v>0.222159252</v>
      </c>
      <c r="J79">
        <v>0.70538392599999999</v>
      </c>
      <c r="K79">
        <v>0.37081771699999999</v>
      </c>
      <c r="L79">
        <v>45876</v>
      </c>
      <c r="M79">
        <v>39912</v>
      </c>
      <c r="N79">
        <v>5964</v>
      </c>
      <c r="O79">
        <v>0.13000261599999999</v>
      </c>
    </row>
    <row r="80" spans="1:15" x14ac:dyDescent="0.35">
      <c r="A80" t="s">
        <v>143</v>
      </c>
      <c r="B80">
        <v>3635</v>
      </c>
      <c r="C80">
        <v>3677</v>
      </c>
      <c r="D80">
        <v>18066</v>
      </c>
      <c r="E80">
        <v>1714</v>
      </c>
      <c r="F80">
        <v>1860</v>
      </c>
      <c r="G80">
        <v>14852</v>
      </c>
      <c r="H80">
        <v>0.53954010100000005</v>
      </c>
      <c r="I80">
        <v>0.57756908100000004</v>
      </c>
      <c r="J80">
        <v>0.68764809500000001</v>
      </c>
      <c r="K80">
        <v>0.601585759</v>
      </c>
      <c r="L80">
        <v>25378</v>
      </c>
      <c r="M80">
        <v>18426</v>
      </c>
      <c r="N80">
        <v>6952</v>
      </c>
      <c r="O80">
        <v>0.27393805700000001</v>
      </c>
    </row>
    <row r="81" spans="1:15" x14ac:dyDescent="0.35">
      <c r="A81" t="s">
        <v>144</v>
      </c>
      <c r="B81">
        <v>1273</v>
      </c>
      <c r="C81">
        <v>1276</v>
      </c>
      <c r="D81">
        <v>6004</v>
      </c>
      <c r="E81">
        <v>1314</v>
      </c>
      <c r="F81">
        <v>1337</v>
      </c>
      <c r="G81">
        <v>5994</v>
      </c>
      <c r="H81">
        <v>0.88287591799999998</v>
      </c>
      <c r="I81">
        <v>0.88021431299999997</v>
      </c>
      <c r="J81">
        <v>0.92498749800000002</v>
      </c>
      <c r="K81">
        <v>0.89602590999999998</v>
      </c>
      <c r="L81">
        <v>8553</v>
      </c>
      <c r="M81">
        <v>8645</v>
      </c>
      <c r="N81">
        <v>92</v>
      </c>
      <c r="O81">
        <v>1.0756460000000001E-2</v>
      </c>
    </row>
    <row r="82" spans="1:15" x14ac:dyDescent="0.35">
      <c r="A82" t="s">
        <v>145</v>
      </c>
      <c r="B82">
        <v>4066</v>
      </c>
      <c r="C82">
        <v>4066</v>
      </c>
      <c r="D82">
        <v>16252</v>
      </c>
      <c r="E82">
        <v>1714</v>
      </c>
      <c r="F82">
        <v>4362</v>
      </c>
      <c r="G82">
        <v>16120</v>
      </c>
      <c r="H82">
        <v>0.367128028</v>
      </c>
      <c r="I82">
        <v>0.755102041</v>
      </c>
      <c r="J82">
        <v>0.91863338699999997</v>
      </c>
      <c r="K82">
        <v>0.68028781900000002</v>
      </c>
      <c r="L82">
        <v>24384</v>
      </c>
      <c r="M82">
        <v>22196</v>
      </c>
      <c r="N82">
        <v>2188</v>
      </c>
      <c r="O82">
        <v>8.9730971000000007E-2</v>
      </c>
    </row>
    <row r="83" spans="1:15" x14ac:dyDescent="0.35">
      <c r="A83" t="s">
        <v>146</v>
      </c>
      <c r="B83">
        <v>2247</v>
      </c>
      <c r="C83">
        <v>2577</v>
      </c>
      <c r="D83">
        <v>19961</v>
      </c>
      <c r="E83">
        <v>1865</v>
      </c>
      <c r="F83">
        <v>4170</v>
      </c>
      <c r="G83">
        <v>25241</v>
      </c>
      <c r="H83">
        <v>0.77918287900000005</v>
      </c>
      <c r="I83">
        <v>0.59641322100000005</v>
      </c>
      <c r="J83">
        <v>0.80368125300000004</v>
      </c>
      <c r="K83">
        <v>0.72642578400000002</v>
      </c>
      <c r="L83">
        <v>24785</v>
      </c>
      <c r="M83">
        <v>31276</v>
      </c>
      <c r="N83">
        <v>6491</v>
      </c>
      <c r="O83">
        <v>0.26189227399999998</v>
      </c>
    </row>
    <row r="84" spans="1:15" x14ac:dyDescent="0.35">
      <c r="A84" t="s">
        <v>147</v>
      </c>
      <c r="B84">
        <v>1873</v>
      </c>
      <c r="C84">
        <v>2103</v>
      </c>
      <c r="D84">
        <v>27012</v>
      </c>
      <c r="E84">
        <v>1604</v>
      </c>
      <c r="F84">
        <v>1799</v>
      </c>
      <c r="G84">
        <v>25777</v>
      </c>
      <c r="H84">
        <v>0.77710670100000001</v>
      </c>
      <c r="I84">
        <v>0.85853408499999995</v>
      </c>
      <c r="J84">
        <v>0.92136619399999997</v>
      </c>
      <c r="K84">
        <v>0.85233566000000005</v>
      </c>
      <c r="L84">
        <v>30988</v>
      </c>
      <c r="M84">
        <v>29180</v>
      </c>
      <c r="N84">
        <v>1808</v>
      </c>
      <c r="O84">
        <v>5.8345165999999997E-2</v>
      </c>
    </row>
    <row r="85" spans="1:15" x14ac:dyDescent="0.35">
      <c r="A85" t="s">
        <v>148</v>
      </c>
      <c r="B85">
        <v>3790</v>
      </c>
      <c r="C85">
        <v>4960</v>
      </c>
      <c r="D85">
        <v>59301</v>
      </c>
      <c r="E85">
        <v>209</v>
      </c>
      <c r="F85">
        <v>2113</v>
      </c>
      <c r="G85">
        <v>2859</v>
      </c>
      <c r="H85">
        <v>0.10452613199999999</v>
      </c>
      <c r="I85">
        <v>0.27597907500000002</v>
      </c>
      <c r="J85">
        <v>3.8223937999999999E-2</v>
      </c>
      <c r="K85">
        <v>0.139576382</v>
      </c>
      <c r="L85">
        <v>68051</v>
      </c>
      <c r="M85">
        <v>5181</v>
      </c>
      <c r="N85">
        <v>62870</v>
      </c>
      <c r="O85">
        <v>0.92386592400000001</v>
      </c>
    </row>
    <row r="86" spans="1:15" x14ac:dyDescent="0.35">
      <c r="A86" t="s">
        <v>149</v>
      </c>
      <c r="B86">
        <v>8677</v>
      </c>
      <c r="C86">
        <v>8678</v>
      </c>
      <c r="D86">
        <v>37731</v>
      </c>
      <c r="E86">
        <v>5664</v>
      </c>
      <c r="F86">
        <v>13060</v>
      </c>
      <c r="G86">
        <v>43757</v>
      </c>
      <c r="H86">
        <v>0.49354996200000001</v>
      </c>
      <c r="I86">
        <v>0.73843039799999999</v>
      </c>
      <c r="J86">
        <v>0.88108678600000001</v>
      </c>
      <c r="K86">
        <v>0.70435571500000005</v>
      </c>
      <c r="L86">
        <v>55086</v>
      </c>
      <c r="M86">
        <v>62481</v>
      </c>
      <c r="N86">
        <v>7395</v>
      </c>
      <c r="O86">
        <v>0.134244636</v>
      </c>
    </row>
    <row r="87" spans="1:15" x14ac:dyDescent="0.35">
      <c r="A87" t="s">
        <v>150</v>
      </c>
      <c r="B87">
        <v>24413</v>
      </c>
      <c r="C87">
        <v>38485</v>
      </c>
      <c r="D87">
        <v>104040</v>
      </c>
      <c r="E87">
        <v>23373</v>
      </c>
      <c r="F87">
        <v>37986</v>
      </c>
      <c r="G87">
        <v>104352</v>
      </c>
      <c r="H87">
        <v>0.86535805499999996</v>
      </c>
      <c r="I87">
        <v>0.953694865</v>
      </c>
      <c r="J87">
        <v>0.94453721800000001</v>
      </c>
      <c r="K87">
        <v>0.92119671299999994</v>
      </c>
      <c r="L87">
        <v>166938</v>
      </c>
      <c r="M87">
        <v>165711</v>
      </c>
      <c r="N87">
        <v>1227</v>
      </c>
      <c r="O87">
        <v>7.3500340000000001E-3</v>
      </c>
    </row>
    <row r="88" spans="1:15" x14ac:dyDescent="0.35">
      <c r="A88" t="s">
        <v>151</v>
      </c>
      <c r="B88">
        <v>19608</v>
      </c>
      <c r="C88">
        <v>19608</v>
      </c>
      <c r="D88">
        <v>78776</v>
      </c>
      <c r="E88">
        <v>2139</v>
      </c>
      <c r="F88">
        <v>14314</v>
      </c>
      <c r="G88">
        <v>66667</v>
      </c>
      <c r="H88">
        <v>0.12774175800000001</v>
      </c>
      <c r="I88">
        <v>0.66817994199999997</v>
      </c>
      <c r="J88">
        <v>0.87642581600000002</v>
      </c>
      <c r="K88">
        <v>0.55744917199999999</v>
      </c>
      <c r="L88">
        <v>117992</v>
      </c>
      <c r="M88">
        <v>83120</v>
      </c>
      <c r="N88">
        <v>34872</v>
      </c>
      <c r="O88">
        <v>0.29554546100000001</v>
      </c>
    </row>
    <row r="89" spans="1:15" x14ac:dyDescent="0.35">
      <c r="A89" t="s">
        <v>152</v>
      </c>
      <c r="B89">
        <v>4710</v>
      </c>
      <c r="C89">
        <v>4710</v>
      </c>
      <c r="D89">
        <v>42630</v>
      </c>
      <c r="E89">
        <v>1698</v>
      </c>
      <c r="F89">
        <v>4728</v>
      </c>
      <c r="G89">
        <v>41816</v>
      </c>
      <c r="H89">
        <v>0.383895131</v>
      </c>
      <c r="I89">
        <v>0.82220809500000003</v>
      </c>
      <c r="J89">
        <v>0.91251213799999997</v>
      </c>
      <c r="K89">
        <v>0.70620512099999999</v>
      </c>
      <c r="L89">
        <v>52050</v>
      </c>
      <c r="M89">
        <v>48242</v>
      </c>
      <c r="N89">
        <v>3808</v>
      </c>
      <c r="O89">
        <v>7.3160423000000002E-2</v>
      </c>
    </row>
    <row r="90" spans="1:15" x14ac:dyDescent="0.35">
      <c r="A90" t="s">
        <v>153</v>
      </c>
      <c r="B90">
        <v>9101</v>
      </c>
      <c r="C90">
        <v>9125</v>
      </c>
      <c r="D90">
        <v>69369</v>
      </c>
      <c r="E90">
        <v>6714</v>
      </c>
      <c r="F90">
        <v>9475</v>
      </c>
      <c r="G90">
        <v>70934</v>
      </c>
      <c r="H90">
        <v>0.784571609</v>
      </c>
      <c r="I90">
        <v>0.89623655899999999</v>
      </c>
      <c r="J90">
        <v>0.95443433099999997</v>
      </c>
      <c r="K90">
        <v>0.87841416699999997</v>
      </c>
      <c r="L90">
        <v>87595</v>
      </c>
      <c r="M90">
        <v>87123</v>
      </c>
      <c r="N90">
        <v>472</v>
      </c>
      <c r="O90">
        <v>5.3884349999999996E-3</v>
      </c>
    </row>
    <row r="91" spans="1:15" x14ac:dyDescent="0.35">
      <c r="A91" t="s">
        <v>154</v>
      </c>
      <c r="B91">
        <v>2735</v>
      </c>
      <c r="C91">
        <v>2735</v>
      </c>
      <c r="D91">
        <v>90220</v>
      </c>
      <c r="E91">
        <v>2293</v>
      </c>
      <c r="F91">
        <v>2501</v>
      </c>
      <c r="G91">
        <v>84483</v>
      </c>
      <c r="H91">
        <v>0.69093078799999996</v>
      </c>
      <c r="I91">
        <v>0.67570664599999997</v>
      </c>
      <c r="J91">
        <v>0.92816952200000002</v>
      </c>
      <c r="K91">
        <v>0.76493565200000002</v>
      </c>
      <c r="L91">
        <v>95690</v>
      </c>
      <c r="M91">
        <v>89277</v>
      </c>
      <c r="N91">
        <v>6413</v>
      </c>
      <c r="O91">
        <v>6.7018496999999996E-2</v>
      </c>
    </row>
    <row r="92" spans="1:15" x14ac:dyDescent="0.35">
      <c r="A92" t="s">
        <v>155</v>
      </c>
      <c r="B92">
        <v>11507</v>
      </c>
      <c r="C92">
        <v>15957</v>
      </c>
      <c r="D92">
        <v>92603</v>
      </c>
      <c r="E92">
        <v>13501</v>
      </c>
      <c r="F92">
        <v>17583</v>
      </c>
      <c r="G92">
        <v>93069</v>
      </c>
      <c r="H92">
        <v>0.86772232900000001</v>
      </c>
      <c r="I92">
        <v>0.93208109699999997</v>
      </c>
      <c r="J92">
        <v>0.93878452300000004</v>
      </c>
      <c r="K92">
        <v>0.91286265</v>
      </c>
      <c r="L92">
        <v>120067</v>
      </c>
      <c r="M92">
        <v>124153</v>
      </c>
      <c r="N92">
        <v>4086</v>
      </c>
      <c r="O92">
        <v>3.4030998999999999E-2</v>
      </c>
    </row>
    <row r="93" spans="1:15" x14ac:dyDescent="0.35">
      <c r="A93" t="s">
        <v>156</v>
      </c>
      <c r="B93">
        <v>5985</v>
      </c>
      <c r="C93">
        <v>5985</v>
      </c>
      <c r="D93">
        <v>77114</v>
      </c>
      <c r="E93">
        <v>6232</v>
      </c>
      <c r="F93">
        <v>7111</v>
      </c>
      <c r="G93">
        <v>79123</v>
      </c>
      <c r="H93">
        <v>0.84177785100000002</v>
      </c>
      <c r="I93">
        <v>0.87477092199999995</v>
      </c>
      <c r="J93">
        <v>0.93242957800000004</v>
      </c>
      <c r="K93">
        <v>0.88299278400000003</v>
      </c>
      <c r="L93">
        <v>89084</v>
      </c>
      <c r="M93">
        <v>92466</v>
      </c>
      <c r="N93">
        <v>3382</v>
      </c>
      <c r="O93">
        <v>3.7964168999999999E-2</v>
      </c>
    </row>
    <row r="94" spans="1:15" x14ac:dyDescent="0.35">
      <c r="A94" t="s">
        <v>157</v>
      </c>
      <c r="B94">
        <v>10965</v>
      </c>
      <c r="C94">
        <v>11023</v>
      </c>
      <c r="D94">
        <v>77395</v>
      </c>
      <c r="E94">
        <v>8693</v>
      </c>
      <c r="F94">
        <v>11190</v>
      </c>
      <c r="G94">
        <v>76900</v>
      </c>
      <c r="H94">
        <v>0.819920643</v>
      </c>
      <c r="I94">
        <v>0.92585423</v>
      </c>
      <c r="J94">
        <v>0.94022489399999998</v>
      </c>
      <c r="K94">
        <v>0.89533325500000005</v>
      </c>
      <c r="L94">
        <v>99383</v>
      </c>
      <c r="M94">
        <v>96783</v>
      </c>
      <c r="N94">
        <v>2600</v>
      </c>
      <c r="O94">
        <v>2.6161416E-2</v>
      </c>
    </row>
    <row r="95" spans="1:15" x14ac:dyDescent="0.35">
      <c r="A95" t="s">
        <v>158</v>
      </c>
      <c r="B95">
        <v>5314</v>
      </c>
      <c r="C95">
        <v>5314</v>
      </c>
      <c r="D95">
        <v>36936</v>
      </c>
      <c r="E95">
        <v>696</v>
      </c>
      <c r="F95">
        <v>1031</v>
      </c>
      <c r="G95">
        <v>1496</v>
      </c>
      <c r="H95">
        <v>0.21031614000000001</v>
      </c>
      <c r="I95">
        <v>0.293459417</v>
      </c>
      <c r="J95">
        <v>7.6550791000000007E-2</v>
      </c>
      <c r="K95">
        <v>0.193442116</v>
      </c>
      <c r="L95">
        <v>47564</v>
      </c>
      <c r="M95">
        <v>3223</v>
      </c>
      <c r="N95">
        <v>44341</v>
      </c>
      <c r="O95">
        <v>0.93223866799999999</v>
      </c>
    </row>
    <row r="96" spans="1:15" x14ac:dyDescent="0.35">
      <c r="A96" t="s">
        <v>159</v>
      </c>
      <c r="B96">
        <v>10226</v>
      </c>
      <c r="C96">
        <v>10256</v>
      </c>
      <c r="D96">
        <v>93715</v>
      </c>
      <c r="E96">
        <v>8420</v>
      </c>
      <c r="F96">
        <v>9278</v>
      </c>
      <c r="G96">
        <v>88440</v>
      </c>
      <c r="H96">
        <v>0.82687975999999996</v>
      </c>
      <c r="I96">
        <v>0.86229138900000002</v>
      </c>
      <c r="J96">
        <v>0.91473744899999998</v>
      </c>
      <c r="K96">
        <v>0.86796953300000002</v>
      </c>
      <c r="L96">
        <v>114197</v>
      </c>
      <c r="M96">
        <v>106138</v>
      </c>
      <c r="N96">
        <v>8059</v>
      </c>
      <c r="O96">
        <v>7.0571031000000006E-2</v>
      </c>
    </row>
    <row r="97" spans="1:15" x14ac:dyDescent="0.35">
      <c r="A97" t="s">
        <v>160</v>
      </c>
      <c r="B97">
        <v>29212</v>
      </c>
      <c r="C97">
        <v>35502</v>
      </c>
      <c r="D97">
        <v>101362</v>
      </c>
      <c r="E97">
        <v>26803</v>
      </c>
      <c r="F97">
        <v>35308</v>
      </c>
      <c r="G97">
        <v>99415</v>
      </c>
      <c r="H97">
        <v>0.88397750600000002</v>
      </c>
      <c r="I97">
        <v>0.94368027099999996</v>
      </c>
      <c r="J97">
        <v>0.93250720899999995</v>
      </c>
      <c r="K97">
        <v>0.92005499599999996</v>
      </c>
      <c r="L97">
        <v>166076</v>
      </c>
      <c r="M97">
        <v>161526</v>
      </c>
      <c r="N97">
        <v>4550</v>
      </c>
      <c r="O97">
        <v>2.7397095E-2</v>
      </c>
    </row>
    <row r="98" spans="1:15" x14ac:dyDescent="0.35">
      <c r="A98" t="s">
        <v>161</v>
      </c>
      <c r="B98">
        <v>7159</v>
      </c>
      <c r="C98">
        <v>7161</v>
      </c>
      <c r="D98">
        <v>18135</v>
      </c>
      <c r="E98">
        <v>5303</v>
      </c>
      <c r="F98">
        <v>8026</v>
      </c>
      <c r="G98">
        <v>19095</v>
      </c>
      <c r="H98">
        <v>0.64275397199999995</v>
      </c>
      <c r="I98">
        <v>0.76855205100000001</v>
      </c>
      <c r="J98">
        <v>0.83056674699999999</v>
      </c>
      <c r="K98">
        <v>0.747290923</v>
      </c>
      <c r="L98">
        <v>32455</v>
      </c>
      <c r="M98">
        <v>32424</v>
      </c>
      <c r="N98">
        <v>31</v>
      </c>
      <c r="O98">
        <v>9.5516899999999996E-4</v>
      </c>
    </row>
    <row r="99" spans="1:15" x14ac:dyDescent="0.35">
      <c r="A99" t="s">
        <v>162</v>
      </c>
      <c r="B99">
        <v>20931</v>
      </c>
      <c r="C99">
        <v>20941</v>
      </c>
      <c r="D99">
        <v>61079</v>
      </c>
      <c r="E99">
        <v>15133</v>
      </c>
      <c r="F99">
        <v>20462</v>
      </c>
      <c r="G99">
        <v>58876</v>
      </c>
      <c r="H99">
        <v>0.80041038200000003</v>
      </c>
      <c r="I99">
        <v>0.93790305100000004</v>
      </c>
      <c r="J99">
        <v>0.92703097000000001</v>
      </c>
      <c r="K99">
        <v>0.888448134</v>
      </c>
      <c r="L99">
        <v>102951</v>
      </c>
      <c r="M99">
        <v>94471</v>
      </c>
      <c r="N99">
        <v>8480</v>
      </c>
      <c r="O99">
        <v>8.2369282000000002E-2</v>
      </c>
    </row>
    <row r="100" spans="1:15" x14ac:dyDescent="0.35">
      <c r="A100" t="s">
        <v>163</v>
      </c>
      <c r="B100">
        <v>5918</v>
      </c>
      <c r="C100">
        <v>5919</v>
      </c>
      <c r="D100">
        <v>24116</v>
      </c>
      <c r="E100">
        <v>4520</v>
      </c>
      <c r="F100">
        <v>7633</v>
      </c>
      <c r="G100">
        <v>25408</v>
      </c>
      <c r="H100">
        <v>0.66238743099999997</v>
      </c>
      <c r="I100">
        <v>0.84489374299999997</v>
      </c>
      <c r="J100">
        <v>0.936636782</v>
      </c>
      <c r="K100">
        <v>0.814639318</v>
      </c>
      <c r="L100">
        <v>35953</v>
      </c>
      <c r="M100">
        <v>37561</v>
      </c>
      <c r="N100">
        <v>1608</v>
      </c>
      <c r="O100">
        <v>4.4725057999999998E-2</v>
      </c>
    </row>
    <row r="101" spans="1:15" x14ac:dyDescent="0.35">
      <c r="A101" t="s">
        <v>164</v>
      </c>
      <c r="B101">
        <v>22927</v>
      </c>
      <c r="C101">
        <v>26805</v>
      </c>
      <c r="D101">
        <v>49522</v>
      </c>
      <c r="E101">
        <v>22288</v>
      </c>
      <c r="F101">
        <v>27970</v>
      </c>
      <c r="G101">
        <v>51834</v>
      </c>
      <c r="H101">
        <v>0.89465885199999995</v>
      </c>
      <c r="I101">
        <v>0.93170241899999995</v>
      </c>
      <c r="J101">
        <v>0.94648565500000004</v>
      </c>
      <c r="K101">
        <v>0.92428230899999997</v>
      </c>
      <c r="L101">
        <v>99254</v>
      </c>
      <c r="M101">
        <v>102092</v>
      </c>
      <c r="N101">
        <v>2838</v>
      </c>
      <c r="O101">
        <v>2.8593305999999999E-2</v>
      </c>
    </row>
    <row r="102" spans="1:15" x14ac:dyDescent="0.35">
      <c r="A102" t="s">
        <v>165</v>
      </c>
      <c r="B102">
        <v>4453</v>
      </c>
      <c r="C102">
        <v>5254</v>
      </c>
      <c r="D102">
        <v>59293</v>
      </c>
      <c r="E102">
        <v>5228</v>
      </c>
      <c r="F102">
        <v>5874</v>
      </c>
      <c r="G102">
        <v>60199</v>
      </c>
      <c r="H102">
        <v>0.76045863000000002</v>
      </c>
      <c r="I102">
        <v>0.77444284699999999</v>
      </c>
      <c r="J102">
        <v>0.92463093799999996</v>
      </c>
      <c r="K102">
        <v>0.819844138</v>
      </c>
      <c r="L102">
        <v>69000</v>
      </c>
      <c r="M102">
        <v>71301</v>
      </c>
      <c r="N102">
        <v>2301</v>
      </c>
      <c r="O102">
        <v>3.3347825999999997E-2</v>
      </c>
    </row>
    <row r="103" spans="1:15" x14ac:dyDescent="0.35">
      <c r="A103" t="s">
        <v>166</v>
      </c>
      <c r="B103">
        <v>4884</v>
      </c>
      <c r="C103">
        <v>4907</v>
      </c>
      <c r="D103">
        <v>25311</v>
      </c>
      <c r="E103">
        <v>1906</v>
      </c>
      <c r="F103">
        <v>4382</v>
      </c>
      <c r="G103">
        <v>17269</v>
      </c>
      <c r="H103">
        <v>0.49219440399999997</v>
      </c>
      <c r="I103">
        <v>0.78264614099999996</v>
      </c>
      <c r="J103">
        <v>0.74368248000000003</v>
      </c>
      <c r="K103">
        <v>0.67284100800000002</v>
      </c>
      <c r="L103">
        <v>35102</v>
      </c>
      <c r="M103">
        <v>23557</v>
      </c>
      <c r="N103">
        <v>11545</v>
      </c>
      <c r="O103">
        <v>0.32889863800000002</v>
      </c>
    </row>
    <row r="104" spans="1:15" x14ac:dyDescent="0.35">
      <c r="A104" t="s">
        <v>167</v>
      </c>
      <c r="B104">
        <v>7659</v>
      </c>
      <c r="C104">
        <v>7664</v>
      </c>
      <c r="D104">
        <v>66490</v>
      </c>
      <c r="E104">
        <v>4591</v>
      </c>
      <c r="F104">
        <v>7944</v>
      </c>
      <c r="G104">
        <v>63998</v>
      </c>
      <c r="H104">
        <v>0.53110204100000002</v>
      </c>
      <c r="I104">
        <v>0.71655561300000004</v>
      </c>
      <c r="J104">
        <v>0.85131199800000001</v>
      </c>
      <c r="K104">
        <v>0.69965655000000004</v>
      </c>
      <c r="L104">
        <v>81813</v>
      </c>
      <c r="M104">
        <v>76533</v>
      </c>
      <c r="N104">
        <v>5280</v>
      </c>
      <c r="O104">
        <v>6.4537420999999998E-2</v>
      </c>
    </row>
    <row r="105" spans="1:15" x14ac:dyDescent="0.35">
      <c r="A105" t="s">
        <v>168</v>
      </c>
      <c r="B105">
        <v>15465</v>
      </c>
      <c r="C105">
        <v>15489</v>
      </c>
      <c r="D105">
        <v>53427</v>
      </c>
      <c r="E105">
        <v>10595</v>
      </c>
      <c r="F105">
        <v>12634</v>
      </c>
      <c r="G105">
        <v>41083</v>
      </c>
      <c r="H105">
        <v>0.76438987000000003</v>
      </c>
      <c r="I105">
        <v>0.83490381499999999</v>
      </c>
      <c r="J105">
        <v>0.81610411599999999</v>
      </c>
      <c r="K105">
        <v>0.80513259999999998</v>
      </c>
      <c r="L105">
        <v>84381</v>
      </c>
      <c r="M105">
        <v>64312</v>
      </c>
      <c r="N105">
        <v>20069</v>
      </c>
      <c r="O105">
        <v>0.23783790199999999</v>
      </c>
    </row>
    <row r="106" spans="1:15" x14ac:dyDescent="0.35">
      <c r="A106" t="s">
        <v>169</v>
      </c>
      <c r="B106">
        <v>13834</v>
      </c>
      <c r="C106">
        <v>13838</v>
      </c>
      <c r="D106">
        <v>63117</v>
      </c>
      <c r="E106">
        <v>10562</v>
      </c>
      <c r="F106">
        <v>12492</v>
      </c>
      <c r="G106">
        <v>49675</v>
      </c>
      <c r="H106">
        <v>0.823003771</v>
      </c>
      <c r="I106">
        <v>0.88477022400000005</v>
      </c>
      <c r="J106">
        <v>0.823019363</v>
      </c>
      <c r="K106">
        <v>0.84359778600000002</v>
      </c>
      <c r="L106">
        <v>90789</v>
      </c>
      <c r="M106">
        <v>72729</v>
      </c>
      <c r="N106">
        <v>18060</v>
      </c>
      <c r="O106">
        <v>0.198922777</v>
      </c>
    </row>
    <row r="107" spans="1:15" x14ac:dyDescent="0.35">
      <c r="A107" t="s">
        <v>170</v>
      </c>
      <c r="B107">
        <v>17928</v>
      </c>
      <c r="C107">
        <v>18395</v>
      </c>
      <c r="D107">
        <v>92212</v>
      </c>
      <c r="E107">
        <v>12289</v>
      </c>
      <c r="F107">
        <v>13498</v>
      </c>
      <c r="G107">
        <v>73933</v>
      </c>
      <c r="H107">
        <v>0.78459145500000005</v>
      </c>
      <c r="I107">
        <v>0.81666823399999999</v>
      </c>
      <c r="J107">
        <v>0.85268891599999996</v>
      </c>
      <c r="K107">
        <v>0.81798286899999995</v>
      </c>
      <c r="L107">
        <v>128535</v>
      </c>
      <c r="M107">
        <v>99720</v>
      </c>
      <c r="N107">
        <v>28815</v>
      </c>
      <c r="O107">
        <v>0.224180184</v>
      </c>
    </row>
    <row r="108" spans="1:15" x14ac:dyDescent="0.35">
      <c r="A108" t="s">
        <v>171</v>
      </c>
      <c r="B108">
        <v>5861</v>
      </c>
      <c r="C108">
        <v>6558</v>
      </c>
      <c r="D108">
        <v>71187</v>
      </c>
      <c r="E108">
        <v>3077</v>
      </c>
      <c r="F108">
        <v>4016</v>
      </c>
      <c r="G108">
        <v>56382</v>
      </c>
      <c r="H108">
        <v>0.63526516</v>
      </c>
      <c r="I108">
        <v>0.72763381900000002</v>
      </c>
      <c r="J108">
        <v>0.83189489599999999</v>
      </c>
      <c r="K108">
        <v>0.73159795800000005</v>
      </c>
      <c r="L108">
        <v>83606</v>
      </c>
      <c r="M108">
        <v>63475</v>
      </c>
      <c r="N108">
        <v>20131</v>
      </c>
      <c r="O108">
        <v>0.240784154</v>
      </c>
    </row>
    <row r="109" spans="1:15" x14ac:dyDescent="0.35">
      <c r="A109" t="s">
        <v>172</v>
      </c>
      <c r="B109">
        <v>4351</v>
      </c>
      <c r="C109">
        <v>4895</v>
      </c>
      <c r="D109">
        <v>68989</v>
      </c>
      <c r="E109">
        <v>2593</v>
      </c>
      <c r="F109">
        <v>4063</v>
      </c>
      <c r="G109">
        <v>56417</v>
      </c>
      <c r="H109">
        <v>0.64717741900000003</v>
      </c>
      <c r="I109">
        <v>0.73543201599999997</v>
      </c>
      <c r="J109">
        <v>0.77615106099999998</v>
      </c>
      <c r="K109">
        <v>0.71958683199999995</v>
      </c>
      <c r="L109">
        <v>78235</v>
      </c>
      <c r="M109">
        <v>63073</v>
      </c>
      <c r="N109">
        <v>15162</v>
      </c>
      <c r="O109">
        <v>0.193800729</v>
      </c>
    </row>
    <row r="110" spans="1:15" x14ac:dyDescent="0.35">
      <c r="A110" t="s">
        <v>173</v>
      </c>
      <c r="B110">
        <v>11480</v>
      </c>
      <c r="C110">
        <v>11684</v>
      </c>
      <c r="D110">
        <v>36754</v>
      </c>
      <c r="E110">
        <v>10187</v>
      </c>
      <c r="F110">
        <v>10704</v>
      </c>
      <c r="G110">
        <v>38622</v>
      </c>
      <c r="H110">
        <v>0.88383255599999999</v>
      </c>
      <c r="I110">
        <v>0.89422905100000005</v>
      </c>
      <c r="J110">
        <v>0.92878369800000005</v>
      </c>
      <c r="K110">
        <v>0.90228176800000004</v>
      </c>
      <c r="L110">
        <v>59918</v>
      </c>
      <c r="M110">
        <v>59513</v>
      </c>
      <c r="N110">
        <v>405</v>
      </c>
      <c r="O110">
        <v>6.7592379999999999E-3</v>
      </c>
    </row>
    <row r="111" spans="1:15" x14ac:dyDescent="0.35">
      <c r="A111" t="s">
        <v>174</v>
      </c>
      <c r="B111">
        <v>13045</v>
      </c>
      <c r="C111">
        <v>19155</v>
      </c>
      <c r="D111">
        <v>55093</v>
      </c>
      <c r="E111">
        <v>15248</v>
      </c>
      <c r="F111">
        <v>21469</v>
      </c>
      <c r="G111">
        <v>56992</v>
      </c>
      <c r="H111">
        <v>0.85208355400000002</v>
      </c>
      <c r="I111">
        <v>0.91379480099999999</v>
      </c>
      <c r="J111">
        <v>0.93289913899999999</v>
      </c>
      <c r="K111">
        <v>0.89959249799999996</v>
      </c>
      <c r="L111">
        <v>87293</v>
      </c>
      <c r="M111">
        <v>93709</v>
      </c>
      <c r="N111">
        <v>6416</v>
      </c>
      <c r="O111">
        <v>7.3499593000000002E-2</v>
      </c>
    </row>
    <row r="112" spans="1:15" x14ac:dyDescent="0.35">
      <c r="A112" t="s">
        <v>175</v>
      </c>
      <c r="B112">
        <v>9316</v>
      </c>
      <c r="C112">
        <v>9713</v>
      </c>
      <c r="D112">
        <v>48078</v>
      </c>
      <c r="E112">
        <v>6144</v>
      </c>
      <c r="F112">
        <v>13649</v>
      </c>
      <c r="G112">
        <v>50963</v>
      </c>
      <c r="H112">
        <v>0.48318240600000001</v>
      </c>
      <c r="I112">
        <v>0.75053505700000001</v>
      </c>
      <c r="J112">
        <v>0.92020476399999995</v>
      </c>
      <c r="K112">
        <v>0.71797407599999996</v>
      </c>
      <c r="L112">
        <v>67107</v>
      </c>
      <c r="M112">
        <v>70756</v>
      </c>
      <c r="N112">
        <v>3649</v>
      </c>
      <c r="O112">
        <v>5.4375847999999997E-2</v>
      </c>
    </row>
    <row r="113" spans="1:15" x14ac:dyDescent="0.35">
      <c r="A113" t="s">
        <v>176</v>
      </c>
      <c r="B113">
        <v>17683</v>
      </c>
      <c r="C113">
        <v>18062</v>
      </c>
      <c r="D113">
        <v>57354</v>
      </c>
      <c r="E113">
        <v>12504</v>
      </c>
      <c r="F113">
        <v>18402</v>
      </c>
      <c r="G113">
        <v>57399</v>
      </c>
      <c r="H113">
        <v>0.71686487600000004</v>
      </c>
      <c r="I113">
        <v>0.90560552900000002</v>
      </c>
      <c r="J113">
        <v>0.92980575700000001</v>
      </c>
      <c r="K113">
        <v>0.85075871999999997</v>
      </c>
      <c r="L113">
        <v>93099</v>
      </c>
      <c r="M113">
        <v>88305</v>
      </c>
      <c r="N113">
        <v>4794</v>
      </c>
      <c r="O113">
        <v>5.1493571000000002E-2</v>
      </c>
    </row>
    <row r="114" spans="1:15" x14ac:dyDescent="0.35">
      <c r="A114" t="s">
        <v>177</v>
      </c>
      <c r="B114">
        <v>3148</v>
      </c>
      <c r="C114">
        <v>3148</v>
      </c>
      <c r="D114">
        <v>21831</v>
      </c>
      <c r="E114">
        <v>0</v>
      </c>
      <c r="F114">
        <v>639</v>
      </c>
      <c r="G114">
        <v>992</v>
      </c>
      <c r="H114" s="1">
        <v>3.1799999999999999E-10</v>
      </c>
      <c r="I114" s="1">
        <v>2.6400000000000002E-10</v>
      </c>
      <c r="J114" s="1">
        <v>4.38E-11</v>
      </c>
      <c r="K114" s="1">
        <v>2.09E-10</v>
      </c>
      <c r="L114">
        <v>28127</v>
      </c>
      <c r="M114">
        <v>1631</v>
      </c>
      <c r="N114">
        <v>26496</v>
      </c>
      <c r="O114">
        <v>0.94201301199999998</v>
      </c>
    </row>
    <row r="115" spans="1:15" x14ac:dyDescent="0.35">
      <c r="A115" t="s">
        <v>178</v>
      </c>
      <c r="B115">
        <v>1323</v>
      </c>
      <c r="C115">
        <v>1323</v>
      </c>
      <c r="D115">
        <v>24793</v>
      </c>
      <c r="E115">
        <v>800</v>
      </c>
      <c r="F115">
        <v>616</v>
      </c>
      <c r="G115">
        <v>20874</v>
      </c>
      <c r="H115">
        <v>0.35044747999999998</v>
      </c>
      <c r="I115">
        <v>0.353790614</v>
      </c>
      <c r="J115">
        <v>0.80386274599999996</v>
      </c>
      <c r="K115">
        <v>0.50270028</v>
      </c>
      <c r="L115">
        <v>27439</v>
      </c>
      <c r="M115">
        <v>22290</v>
      </c>
      <c r="N115">
        <v>5149</v>
      </c>
      <c r="O115">
        <v>0.187652611</v>
      </c>
    </row>
    <row r="116" spans="1:15" x14ac:dyDescent="0.35">
      <c r="A116" t="s">
        <v>179</v>
      </c>
      <c r="B116">
        <v>2132</v>
      </c>
      <c r="C116">
        <v>2132</v>
      </c>
      <c r="D116">
        <v>14016</v>
      </c>
      <c r="E116">
        <v>1874</v>
      </c>
      <c r="F116">
        <v>2918</v>
      </c>
      <c r="G116">
        <v>14915</v>
      </c>
      <c r="H116">
        <v>0.50224663000000003</v>
      </c>
      <c r="I116">
        <v>0.56871287100000001</v>
      </c>
      <c r="J116">
        <v>0.84096643699999996</v>
      </c>
      <c r="K116">
        <v>0.63730864600000003</v>
      </c>
      <c r="L116">
        <v>18280</v>
      </c>
      <c r="M116">
        <v>19707</v>
      </c>
      <c r="N116">
        <v>1427</v>
      </c>
      <c r="O116">
        <v>7.8063457000000003E-2</v>
      </c>
    </row>
    <row r="117" spans="1:15" x14ac:dyDescent="0.35">
      <c r="A117" t="s">
        <v>180</v>
      </c>
      <c r="B117">
        <v>2132</v>
      </c>
      <c r="C117">
        <v>2138</v>
      </c>
      <c r="D117">
        <v>7310</v>
      </c>
      <c r="E117">
        <v>1207</v>
      </c>
      <c r="F117">
        <v>1773</v>
      </c>
      <c r="G117">
        <v>9896</v>
      </c>
      <c r="H117">
        <v>0.64749925100000005</v>
      </c>
      <c r="I117">
        <v>0.84581948399999995</v>
      </c>
      <c r="J117">
        <v>0.60560269700000002</v>
      </c>
      <c r="K117">
        <v>0.69964047699999998</v>
      </c>
      <c r="L117">
        <v>11580</v>
      </c>
      <c r="M117">
        <v>12876</v>
      </c>
      <c r="N117">
        <v>1296</v>
      </c>
      <c r="O117">
        <v>0.11191709800000001</v>
      </c>
    </row>
    <row r="118" spans="1:15" x14ac:dyDescent="0.35">
      <c r="A118" t="s">
        <v>181</v>
      </c>
      <c r="B118">
        <v>1706</v>
      </c>
      <c r="C118">
        <v>1706</v>
      </c>
      <c r="D118">
        <v>1807</v>
      </c>
      <c r="E118">
        <v>0</v>
      </c>
      <c r="F118">
        <v>1263</v>
      </c>
      <c r="G118">
        <v>2055</v>
      </c>
      <c r="H118" s="1">
        <v>5.8600000000000004E-10</v>
      </c>
      <c r="I118" s="1">
        <v>3.3700000000000003E-10</v>
      </c>
      <c r="J118" s="1">
        <v>2.5899999999999998E-10</v>
      </c>
      <c r="K118" s="1">
        <v>3.9399999999999998E-10</v>
      </c>
      <c r="L118">
        <v>5219</v>
      </c>
      <c r="M118">
        <v>3318</v>
      </c>
      <c r="N118">
        <v>1901</v>
      </c>
      <c r="O118">
        <v>0.364246024</v>
      </c>
    </row>
    <row r="119" spans="1:15" x14ac:dyDescent="0.35">
      <c r="A119" t="s">
        <v>182</v>
      </c>
      <c r="B119">
        <v>2181</v>
      </c>
      <c r="C119">
        <v>2181</v>
      </c>
      <c r="D119">
        <v>2886</v>
      </c>
      <c r="E119">
        <v>647</v>
      </c>
      <c r="F119">
        <v>821</v>
      </c>
      <c r="G119">
        <v>1721</v>
      </c>
      <c r="H119">
        <v>0.416548798</v>
      </c>
      <c r="I119">
        <v>0.46102598299999997</v>
      </c>
      <c r="J119">
        <v>0.389407424</v>
      </c>
      <c r="K119">
        <v>0.42232740099999999</v>
      </c>
      <c r="L119">
        <v>7248</v>
      </c>
      <c r="M119">
        <v>3189</v>
      </c>
      <c r="N119">
        <v>4059</v>
      </c>
      <c r="O119">
        <v>0.560016556</v>
      </c>
    </row>
    <row r="120" spans="1:15" x14ac:dyDescent="0.35">
      <c r="A120" t="s">
        <v>183</v>
      </c>
      <c r="B120">
        <v>9113</v>
      </c>
      <c r="C120">
        <v>9113</v>
      </c>
      <c r="D120">
        <v>31136</v>
      </c>
      <c r="E120">
        <v>5201</v>
      </c>
      <c r="F120">
        <v>10063</v>
      </c>
      <c r="G120">
        <v>32457</v>
      </c>
      <c r="H120">
        <v>0.51795444999999996</v>
      </c>
      <c r="I120">
        <v>0.82092198599999999</v>
      </c>
      <c r="J120">
        <v>0.91604421899999999</v>
      </c>
      <c r="K120">
        <v>0.75164021800000003</v>
      </c>
      <c r="L120">
        <v>49362</v>
      </c>
      <c r="M120">
        <v>47721</v>
      </c>
      <c r="N120">
        <v>1641</v>
      </c>
      <c r="O120">
        <v>3.3244195999999997E-2</v>
      </c>
    </row>
    <row r="121" spans="1:15" x14ac:dyDescent="0.35">
      <c r="A121" t="s">
        <v>184</v>
      </c>
      <c r="B121">
        <v>2559</v>
      </c>
      <c r="C121">
        <v>2559</v>
      </c>
      <c r="D121">
        <v>12185</v>
      </c>
      <c r="E121">
        <v>1583</v>
      </c>
      <c r="F121">
        <v>1828</v>
      </c>
      <c r="G121">
        <v>13134</v>
      </c>
      <c r="H121">
        <v>2.3177209000000001E-2</v>
      </c>
      <c r="I121">
        <v>4.1942102000000002E-2</v>
      </c>
      <c r="J121">
        <v>0.59623207899999997</v>
      </c>
      <c r="K121">
        <v>0.22045046300000001</v>
      </c>
      <c r="L121">
        <v>17303</v>
      </c>
      <c r="M121">
        <v>16545</v>
      </c>
      <c r="N121">
        <v>758</v>
      </c>
      <c r="O121">
        <v>4.3807432E-2</v>
      </c>
    </row>
    <row r="122" spans="1:15" x14ac:dyDescent="0.35">
      <c r="A122" t="s">
        <v>185</v>
      </c>
      <c r="B122">
        <v>5309</v>
      </c>
      <c r="C122">
        <v>5362</v>
      </c>
      <c r="D122">
        <v>29254</v>
      </c>
      <c r="E122">
        <v>4514</v>
      </c>
      <c r="F122">
        <v>4762</v>
      </c>
      <c r="G122">
        <v>26983</v>
      </c>
      <c r="H122">
        <v>0.82622416799999998</v>
      </c>
      <c r="I122">
        <v>0.81627815100000001</v>
      </c>
      <c r="J122">
        <v>0.90826324300000005</v>
      </c>
      <c r="K122">
        <v>0.85025518700000002</v>
      </c>
      <c r="L122">
        <v>39925</v>
      </c>
      <c r="M122">
        <v>36259</v>
      </c>
      <c r="N122">
        <v>3666</v>
      </c>
      <c r="O122">
        <v>9.1822166999999996E-2</v>
      </c>
    </row>
    <row r="123" spans="1:15" x14ac:dyDescent="0.35">
      <c r="A123" t="s">
        <v>186</v>
      </c>
      <c r="B123">
        <v>6536</v>
      </c>
      <c r="C123">
        <v>6536</v>
      </c>
      <c r="D123">
        <v>33825</v>
      </c>
      <c r="E123">
        <v>3231</v>
      </c>
      <c r="F123">
        <v>12713</v>
      </c>
      <c r="G123">
        <v>42625</v>
      </c>
      <c r="H123">
        <v>0.217671752</v>
      </c>
      <c r="I123">
        <v>0.66445010100000002</v>
      </c>
      <c r="J123">
        <v>0.87693917600000004</v>
      </c>
      <c r="K123">
        <v>0.58635367599999999</v>
      </c>
      <c r="L123">
        <v>46897</v>
      </c>
      <c r="M123">
        <v>58569</v>
      </c>
      <c r="N123">
        <v>11672</v>
      </c>
      <c r="O123">
        <v>0.24888585599999999</v>
      </c>
    </row>
    <row r="124" spans="1:15" x14ac:dyDescent="0.35">
      <c r="A124" t="s">
        <v>187</v>
      </c>
      <c r="B124">
        <v>3956</v>
      </c>
      <c r="C124">
        <v>3956</v>
      </c>
      <c r="D124">
        <v>11255</v>
      </c>
      <c r="E124">
        <v>2995</v>
      </c>
      <c r="F124">
        <v>3505</v>
      </c>
      <c r="G124">
        <v>10437</v>
      </c>
      <c r="H124">
        <v>0.75413609599999998</v>
      </c>
      <c r="I124">
        <v>0.75646696199999997</v>
      </c>
      <c r="J124">
        <v>0.63461183799999998</v>
      </c>
      <c r="K124">
        <v>0.71507163200000001</v>
      </c>
      <c r="L124">
        <v>19167</v>
      </c>
      <c r="M124">
        <v>16937</v>
      </c>
      <c r="N124">
        <v>2230</v>
      </c>
      <c r="O124">
        <v>0.116345803</v>
      </c>
    </row>
    <row r="125" spans="1:15" x14ac:dyDescent="0.35">
      <c r="A125" t="s">
        <v>188</v>
      </c>
      <c r="B125">
        <v>4890</v>
      </c>
      <c r="C125">
        <v>4890</v>
      </c>
      <c r="D125">
        <v>20470</v>
      </c>
      <c r="E125">
        <v>3321</v>
      </c>
      <c r="F125">
        <v>3631</v>
      </c>
      <c r="G125">
        <v>8624</v>
      </c>
      <c r="H125">
        <v>0.77992936300000004</v>
      </c>
      <c r="I125">
        <v>0.79309940199999995</v>
      </c>
      <c r="J125">
        <v>0.48332989599999998</v>
      </c>
      <c r="K125">
        <v>0.68545288699999996</v>
      </c>
      <c r="L125">
        <v>30250</v>
      </c>
      <c r="M125">
        <v>15576</v>
      </c>
      <c r="N125">
        <v>14674</v>
      </c>
      <c r="O125">
        <v>0.48509090900000001</v>
      </c>
    </row>
    <row r="126" spans="1:15" x14ac:dyDescent="0.35">
      <c r="A126" t="s">
        <v>189</v>
      </c>
      <c r="B126">
        <v>5788</v>
      </c>
      <c r="C126">
        <v>5788</v>
      </c>
      <c r="D126">
        <v>49246</v>
      </c>
      <c r="E126">
        <v>3302</v>
      </c>
      <c r="F126">
        <v>5154</v>
      </c>
      <c r="G126">
        <v>33866</v>
      </c>
      <c r="H126">
        <v>0.64444444400000001</v>
      </c>
      <c r="I126">
        <v>0.66039115299999995</v>
      </c>
      <c r="J126">
        <v>0.74776205600000001</v>
      </c>
      <c r="K126">
        <v>0.68419921800000005</v>
      </c>
      <c r="L126">
        <v>60822</v>
      </c>
      <c r="M126">
        <v>42322</v>
      </c>
      <c r="N126">
        <v>18500</v>
      </c>
      <c r="O126">
        <v>0.30416625600000002</v>
      </c>
    </row>
    <row r="127" spans="1:15" x14ac:dyDescent="0.35">
      <c r="A127" t="s">
        <v>190</v>
      </c>
      <c r="B127">
        <v>9196</v>
      </c>
      <c r="C127">
        <v>9196</v>
      </c>
      <c r="D127">
        <v>29110</v>
      </c>
      <c r="E127">
        <v>1067</v>
      </c>
      <c r="F127">
        <v>3798</v>
      </c>
      <c r="G127">
        <v>30578</v>
      </c>
      <c r="H127">
        <v>0.120822372</v>
      </c>
      <c r="I127">
        <v>0.433430814</v>
      </c>
      <c r="J127">
        <v>0.86486395900000002</v>
      </c>
      <c r="K127">
        <v>0.47303904800000002</v>
      </c>
      <c r="L127">
        <v>47502</v>
      </c>
      <c r="M127">
        <v>35443</v>
      </c>
      <c r="N127">
        <v>12059</v>
      </c>
      <c r="O127">
        <v>0.25386299499999998</v>
      </c>
    </row>
    <row r="128" spans="1:15" x14ac:dyDescent="0.35">
      <c r="A128" t="s">
        <v>191</v>
      </c>
      <c r="B128">
        <v>9545</v>
      </c>
      <c r="C128">
        <v>9608</v>
      </c>
      <c r="D128">
        <v>41550</v>
      </c>
      <c r="E128">
        <v>3570</v>
      </c>
      <c r="F128">
        <v>4478</v>
      </c>
      <c r="G128">
        <v>16807</v>
      </c>
      <c r="H128">
        <v>0.48280594700000001</v>
      </c>
      <c r="I128">
        <v>0.46798239400000002</v>
      </c>
      <c r="J128">
        <v>0.47610398100000001</v>
      </c>
      <c r="K128">
        <v>0.47563077399999998</v>
      </c>
      <c r="L128">
        <v>60703</v>
      </c>
      <c r="M128">
        <v>24855</v>
      </c>
      <c r="N128">
        <v>35848</v>
      </c>
      <c r="O128">
        <v>0.59054741899999996</v>
      </c>
    </row>
    <row r="129" spans="1:15" x14ac:dyDescent="0.35">
      <c r="A129" t="s">
        <v>192</v>
      </c>
      <c r="B129">
        <v>22920</v>
      </c>
      <c r="C129">
        <v>22920</v>
      </c>
      <c r="D129">
        <v>69385</v>
      </c>
      <c r="E129">
        <v>4717</v>
      </c>
      <c r="F129">
        <v>21145</v>
      </c>
      <c r="G129">
        <v>66681</v>
      </c>
      <c r="H129">
        <v>0.208995188</v>
      </c>
      <c r="I129">
        <v>0.75238851699999998</v>
      </c>
      <c r="J129">
        <v>0.89025913899999998</v>
      </c>
      <c r="K129">
        <v>0.61721428099999998</v>
      </c>
      <c r="L129">
        <v>115225</v>
      </c>
      <c r="M129">
        <v>92543</v>
      </c>
      <c r="N129">
        <v>22682</v>
      </c>
      <c r="O129">
        <v>0.19684964199999999</v>
      </c>
    </row>
    <row r="130" spans="1:15" x14ac:dyDescent="0.35">
      <c r="A130" t="s">
        <v>193</v>
      </c>
      <c r="B130">
        <v>10312</v>
      </c>
      <c r="C130">
        <v>10312</v>
      </c>
      <c r="D130">
        <v>25141</v>
      </c>
      <c r="E130">
        <v>53</v>
      </c>
      <c r="F130">
        <v>1450</v>
      </c>
      <c r="G130">
        <v>1773</v>
      </c>
      <c r="H130">
        <v>7.332369E-3</v>
      </c>
      <c r="I130">
        <v>5.8323413999999997E-2</v>
      </c>
      <c r="J130">
        <v>3.1359143999999999E-2</v>
      </c>
      <c r="K130">
        <v>3.2338309000000003E-2</v>
      </c>
      <c r="L130">
        <v>45765</v>
      </c>
      <c r="M130">
        <v>3276</v>
      </c>
      <c r="N130">
        <v>42489</v>
      </c>
      <c r="O130">
        <v>0.92841691199999998</v>
      </c>
    </row>
    <row r="131" spans="1:15" x14ac:dyDescent="0.35">
      <c r="A131" t="s">
        <v>194</v>
      </c>
      <c r="B131">
        <v>6456</v>
      </c>
      <c r="C131">
        <v>6471</v>
      </c>
      <c r="D131">
        <v>26795</v>
      </c>
      <c r="E131">
        <v>0</v>
      </c>
      <c r="F131">
        <v>1507</v>
      </c>
      <c r="G131">
        <v>1744</v>
      </c>
      <c r="H131" s="1">
        <v>1.5500000000000001E-10</v>
      </c>
      <c r="I131" s="1">
        <v>1.2500000000000001E-10</v>
      </c>
      <c r="J131">
        <v>1.072217E-2</v>
      </c>
      <c r="K131">
        <v>3.5740569999999998E-3</v>
      </c>
      <c r="L131">
        <v>39722</v>
      </c>
      <c r="M131">
        <v>3251</v>
      </c>
      <c r="N131">
        <v>36471</v>
      </c>
      <c r="O131">
        <v>0.91815618499999996</v>
      </c>
    </row>
    <row r="132" spans="1:15" x14ac:dyDescent="0.35">
      <c r="A132" t="s">
        <v>195</v>
      </c>
      <c r="B132">
        <v>11009</v>
      </c>
      <c r="C132">
        <v>11010</v>
      </c>
      <c r="D132">
        <v>47787</v>
      </c>
      <c r="E132">
        <v>2230</v>
      </c>
      <c r="F132">
        <v>8376</v>
      </c>
      <c r="G132">
        <v>32799</v>
      </c>
      <c r="H132">
        <v>0.294433114</v>
      </c>
      <c r="I132">
        <v>0.67791189500000004</v>
      </c>
      <c r="J132">
        <v>0.77058049799999995</v>
      </c>
      <c r="K132">
        <v>0.58097516900000001</v>
      </c>
      <c r="L132">
        <v>69806</v>
      </c>
      <c r="M132">
        <v>43405</v>
      </c>
      <c r="N132">
        <v>26401</v>
      </c>
      <c r="O132">
        <v>0.37820531200000002</v>
      </c>
    </row>
    <row r="133" spans="1:15" x14ac:dyDescent="0.35">
      <c r="A133" t="s">
        <v>196</v>
      </c>
      <c r="B133">
        <v>6662</v>
      </c>
      <c r="C133">
        <v>6676</v>
      </c>
      <c r="D133">
        <v>16041</v>
      </c>
      <c r="E133">
        <v>2526</v>
      </c>
      <c r="F133">
        <v>2800</v>
      </c>
      <c r="G133">
        <v>6118</v>
      </c>
      <c r="H133">
        <v>0.48258598200000002</v>
      </c>
      <c r="I133">
        <v>0.48712536899999997</v>
      </c>
      <c r="J133">
        <v>0.54063811500000003</v>
      </c>
      <c r="K133">
        <v>0.50344982199999999</v>
      </c>
      <c r="L133">
        <v>29379</v>
      </c>
      <c r="M133">
        <v>11444</v>
      </c>
      <c r="N133">
        <v>17935</v>
      </c>
      <c r="O133">
        <v>0.61047006400000003</v>
      </c>
    </row>
    <row r="134" spans="1:15" x14ac:dyDescent="0.35">
      <c r="A134" t="s">
        <v>197</v>
      </c>
      <c r="B134">
        <v>1978</v>
      </c>
      <c r="C134">
        <v>1978</v>
      </c>
      <c r="D134">
        <v>22091</v>
      </c>
      <c r="E134">
        <v>0</v>
      </c>
      <c r="F134">
        <v>459</v>
      </c>
      <c r="G134">
        <v>388</v>
      </c>
      <c r="H134" s="1">
        <v>5.0600000000000001E-10</v>
      </c>
      <c r="I134" s="1">
        <v>4.0999999999999998E-10</v>
      </c>
      <c r="J134" s="1">
        <v>4.4500000000000001E-11</v>
      </c>
      <c r="K134" s="1">
        <v>3.1999999999999998E-10</v>
      </c>
      <c r="L134">
        <v>26047</v>
      </c>
      <c r="M134">
        <v>847</v>
      </c>
      <c r="N134">
        <v>25200</v>
      </c>
      <c r="O134">
        <v>0.96748186000000003</v>
      </c>
    </row>
    <row r="135" spans="1:15" x14ac:dyDescent="0.35">
      <c r="A135" t="s">
        <v>198</v>
      </c>
      <c r="B135">
        <v>5008</v>
      </c>
      <c r="C135">
        <v>5209</v>
      </c>
      <c r="D135">
        <v>37733</v>
      </c>
      <c r="E135">
        <v>5561</v>
      </c>
      <c r="F135">
        <v>7840</v>
      </c>
      <c r="G135">
        <v>42680</v>
      </c>
      <c r="H135">
        <v>0.70072854600000001</v>
      </c>
      <c r="I135">
        <v>0.76205073199999995</v>
      </c>
      <c r="J135">
        <v>0.87697262899999995</v>
      </c>
      <c r="K135">
        <v>0.77991730199999998</v>
      </c>
      <c r="L135">
        <v>47950</v>
      </c>
      <c r="M135">
        <v>56081</v>
      </c>
      <c r="N135">
        <v>8131</v>
      </c>
      <c r="O135">
        <v>0.169572471</v>
      </c>
    </row>
    <row r="136" spans="1:15" x14ac:dyDescent="0.35">
      <c r="A136" t="s">
        <v>199</v>
      </c>
      <c r="B136">
        <v>2245</v>
      </c>
      <c r="C136">
        <v>2245</v>
      </c>
      <c r="D136">
        <v>6419</v>
      </c>
      <c r="E136">
        <v>0</v>
      </c>
      <c r="F136">
        <v>101</v>
      </c>
      <c r="G136">
        <v>278</v>
      </c>
      <c r="H136" s="1">
        <v>4.4500000000000001E-10</v>
      </c>
      <c r="I136" s="1">
        <v>4.2599999999999998E-10</v>
      </c>
      <c r="J136" s="1">
        <v>1.49E-10</v>
      </c>
      <c r="K136" s="1">
        <v>3.4000000000000001E-10</v>
      </c>
      <c r="L136">
        <v>10909</v>
      </c>
      <c r="M136">
        <v>379</v>
      </c>
      <c r="N136">
        <v>10530</v>
      </c>
      <c r="O136">
        <v>0.96525804400000004</v>
      </c>
    </row>
    <row r="137" spans="1:15" x14ac:dyDescent="0.35">
      <c r="A137" t="s">
        <v>200</v>
      </c>
      <c r="B137">
        <v>1561</v>
      </c>
      <c r="C137">
        <v>1561</v>
      </c>
      <c r="D137">
        <v>7023</v>
      </c>
      <c r="E137">
        <v>0</v>
      </c>
      <c r="F137">
        <v>0</v>
      </c>
      <c r="G137">
        <v>748</v>
      </c>
      <c r="H137" s="1">
        <v>6.4099999999999996E-10</v>
      </c>
      <c r="I137" s="1">
        <v>6.4099999999999996E-10</v>
      </c>
      <c r="J137" s="1">
        <v>1.2899999999999999E-10</v>
      </c>
      <c r="K137" s="1">
        <v>4.7000000000000003E-10</v>
      </c>
      <c r="L137">
        <v>10145</v>
      </c>
      <c r="M137">
        <v>748</v>
      </c>
      <c r="N137">
        <v>9397</v>
      </c>
      <c r="O137">
        <v>0.92626909800000001</v>
      </c>
    </row>
    <row r="138" spans="1:15" x14ac:dyDescent="0.35">
      <c r="A138" t="s">
        <v>201</v>
      </c>
      <c r="B138">
        <v>1109</v>
      </c>
      <c r="C138">
        <v>1111</v>
      </c>
      <c r="D138">
        <v>15088</v>
      </c>
      <c r="E138">
        <v>0</v>
      </c>
      <c r="F138">
        <v>0</v>
      </c>
      <c r="G138">
        <v>0</v>
      </c>
      <c r="H138" s="1">
        <v>9.0199999999999999E-10</v>
      </c>
      <c r="I138" s="1">
        <v>8.9999999999999999E-10</v>
      </c>
      <c r="J138" s="1">
        <v>6.6300000000000006E-11</v>
      </c>
      <c r="K138" s="1">
        <v>6.2300000000000002E-10</v>
      </c>
      <c r="L138">
        <v>17308</v>
      </c>
      <c r="M138">
        <v>0</v>
      </c>
      <c r="N138">
        <v>17308</v>
      </c>
      <c r="O138">
        <v>1</v>
      </c>
    </row>
    <row r="139" spans="1:15" x14ac:dyDescent="0.35">
      <c r="A139" t="s">
        <v>202</v>
      </c>
      <c r="B139">
        <v>10764</v>
      </c>
      <c r="C139">
        <v>10920</v>
      </c>
      <c r="D139">
        <v>41153</v>
      </c>
      <c r="E139">
        <v>10003</v>
      </c>
      <c r="F139">
        <v>14288</v>
      </c>
      <c r="G139">
        <v>42490</v>
      </c>
      <c r="H139">
        <v>0.81022776500000004</v>
      </c>
      <c r="I139">
        <v>0.83219612799999998</v>
      </c>
      <c r="J139">
        <v>0.87811293199999996</v>
      </c>
      <c r="K139">
        <v>0.84017894199999998</v>
      </c>
      <c r="L139">
        <v>62837</v>
      </c>
      <c r="M139">
        <v>66781</v>
      </c>
      <c r="N139">
        <v>3944</v>
      </c>
      <c r="O139">
        <v>6.2765567999999994E-2</v>
      </c>
    </row>
    <row r="140" spans="1:15" x14ac:dyDescent="0.35">
      <c r="A140" t="s">
        <v>203</v>
      </c>
      <c r="B140">
        <v>21668</v>
      </c>
      <c r="C140">
        <v>22176</v>
      </c>
      <c r="D140">
        <v>133201</v>
      </c>
      <c r="E140">
        <v>16833</v>
      </c>
      <c r="F140">
        <v>20072</v>
      </c>
      <c r="G140">
        <v>43308</v>
      </c>
      <c r="H140">
        <v>0.84958832200000001</v>
      </c>
      <c r="I140">
        <v>0.86915356899999996</v>
      </c>
      <c r="J140">
        <v>0.48570894399999998</v>
      </c>
      <c r="K140">
        <v>0.73481694500000005</v>
      </c>
      <c r="L140">
        <v>177045</v>
      </c>
      <c r="M140">
        <v>80213</v>
      </c>
      <c r="N140">
        <v>96832</v>
      </c>
      <c r="O140">
        <v>0.54693439499999996</v>
      </c>
    </row>
    <row r="141" spans="1:15" x14ac:dyDescent="0.35">
      <c r="A141" t="s">
        <v>204</v>
      </c>
      <c r="B141">
        <v>14277</v>
      </c>
      <c r="C141">
        <v>14586</v>
      </c>
      <c r="D141">
        <v>63475</v>
      </c>
      <c r="E141">
        <v>11427</v>
      </c>
      <c r="F141">
        <v>13185</v>
      </c>
      <c r="G141">
        <v>19325</v>
      </c>
      <c r="H141">
        <v>0.843993153</v>
      </c>
      <c r="I141">
        <v>0.85542472400000003</v>
      </c>
      <c r="J141">
        <v>0.45669082100000002</v>
      </c>
      <c r="K141">
        <v>0.71870289899999995</v>
      </c>
      <c r="L141">
        <v>92338</v>
      </c>
      <c r="M141">
        <v>43937</v>
      </c>
      <c r="N141">
        <v>48401</v>
      </c>
      <c r="O141">
        <v>0.52417206400000005</v>
      </c>
    </row>
    <row r="142" spans="1:15" x14ac:dyDescent="0.35">
      <c r="A142" t="s">
        <v>205</v>
      </c>
      <c r="B142">
        <v>16209</v>
      </c>
      <c r="C142">
        <v>16209</v>
      </c>
      <c r="D142">
        <v>27574</v>
      </c>
      <c r="E142">
        <v>927</v>
      </c>
      <c r="F142">
        <v>5248</v>
      </c>
      <c r="G142">
        <v>6122</v>
      </c>
      <c r="H142">
        <v>8.9285714000000002E-2</v>
      </c>
      <c r="I142">
        <v>0.46213356900000002</v>
      </c>
      <c r="J142">
        <v>0.351020893</v>
      </c>
      <c r="K142">
        <v>0.30081339200000001</v>
      </c>
      <c r="L142">
        <v>59992</v>
      </c>
      <c r="M142">
        <v>12297</v>
      </c>
      <c r="N142">
        <v>47695</v>
      </c>
      <c r="O142">
        <v>0.79502267000000004</v>
      </c>
    </row>
    <row r="143" spans="1:15" x14ac:dyDescent="0.35">
      <c r="A143" t="s">
        <v>206</v>
      </c>
      <c r="B143">
        <v>35535</v>
      </c>
      <c r="C143">
        <v>35568</v>
      </c>
      <c r="D143">
        <v>106859</v>
      </c>
      <c r="E143">
        <v>21017</v>
      </c>
      <c r="F143">
        <v>37429</v>
      </c>
      <c r="G143">
        <v>88738</v>
      </c>
      <c r="H143">
        <v>0.66607723900000004</v>
      </c>
      <c r="I143">
        <v>0.91762675199999999</v>
      </c>
      <c r="J143">
        <v>0.87448171500000005</v>
      </c>
      <c r="K143">
        <v>0.819395235</v>
      </c>
      <c r="L143">
        <v>177962</v>
      </c>
      <c r="M143">
        <v>147184</v>
      </c>
      <c r="N143">
        <v>30778</v>
      </c>
      <c r="O143">
        <v>0.172947034</v>
      </c>
    </row>
    <row r="144" spans="1:15" x14ac:dyDescent="0.35">
      <c r="A144" t="s">
        <v>207</v>
      </c>
      <c r="B144">
        <v>5237</v>
      </c>
      <c r="C144">
        <v>5870</v>
      </c>
      <c r="D144">
        <v>26332</v>
      </c>
      <c r="E144">
        <v>3398</v>
      </c>
      <c r="F144">
        <v>4472</v>
      </c>
      <c r="G144">
        <v>5817</v>
      </c>
      <c r="H144">
        <v>0.68118123900000005</v>
      </c>
      <c r="I144">
        <v>0.70411912600000004</v>
      </c>
      <c r="J144">
        <v>0.34228125300000001</v>
      </c>
      <c r="K144">
        <v>0.575860539</v>
      </c>
      <c r="L144">
        <v>37439</v>
      </c>
      <c r="M144">
        <v>13687</v>
      </c>
      <c r="N144">
        <v>23752</v>
      </c>
      <c r="O144">
        <v>0.63441865399999997</v>
      </c>
    </row>
    <row r="145" spans="1:15" x14ac:dyDescent="0.35">
      <c r="A145" t="s">
        <v>208</v>
      </c>
      <c r="B145">
        <v>16963</v>
      </c>
      <c r="C145">
        <v>20520</v>
      </c>
      <c r="D145">
        <v>21731</v>
      </c>
      <c r="E145">
        <v>0</v>
      </c>
      <c r="F145">
        <v>0</v>
      </c>
      <c r="G145">
        <v>0</v>
      </c>
      <c r="H145" s="1">
        <v>5.9000000000000003E-11</v>
      </c>
      <c r="I145" s="1">
        <v>4.8699999999999997E-11</v>
      </c>
      <c r="J145" s="1">
        <v>4.6000000000000003E-11</v>
      </c>
      <c r="K145" s="1">
        <v>5.1200000000000002E-11</v>
      </c>
      <c r="L145">
        <v>59214</v>
      </c>
      <c r="M145">
        <v>0</v>
      </c>
      <c r="N145">
        <v>59214</v>
      </c>
      <c r="O145">
        <v>1</v>
      </c>
    </row>
    <row r="146" spans="1:15" x14ac:dyDescent="0.35">
      <c r="A146" t="s">
        <v>209</v>
      </c>
      <c r="B146">
        <v>1368</v>
      </c>
      <c r="C146">
        <v>1368</v>
      </c>
      <c r="D146">
        <v>2770</v>
      </c>
      <c r="E146">
        <v>0</v>
      </c>
      <c r="F146">
        <v>759</v>
      </c>
      <c r="G146">
        <v>1463</v>
      </c>
      <c r="H146" s="1">
        <v>7.3099999999999996E-10</v>
      </c>
      <c r="I146" s="1">
        <v>4.7000000000000003E-10</v>
      </c>
      <c r="J146" s="1">
        <v>2.3600000000000001E-10</v>
      </c>
      <c r="K146" s="1">
        <v>4.79E-10</v>
      </c>
      <c r="L146">
        <v>5506</v>
      </c>
      <c r="M146">
        <v>2222</v>
      </c>
      <c r="N146">
        <v>3284</v>
      </c>
      <c r="O146">
        <v>0.59644024699999998</v>
      </c>
    </row>
    <row r="147" spans="1:15" x14ac:dyDescent="0.35">
      <c r="A147" t="s">
        <v>210</v>
      </c>
      <c r="B147">
        <v>1474</v>
      </c>
      <c r="C147">
        <v>1474</v>
      </c>
      <c r="D147">
        <v>3037</v>
      </c>
      <c r="E147">
        <v>0</v>
      </c>
      <c r="F147">
        <v>0</v>
      </c>
      <c r="G147">
        <v>0</v>
      </c>
      <c r="H147" s="1">
        <v>6.7800000000000004E-10</v>
      </c>
      <c r="I147" s="1">
        <v>6.7800000000000004E-10</v>
      </c>
      <c r="J147" s="1">
        <v>3.29E-10</v>
      </c>
      <c r="K147" s="1">
        <v>5.6200000000000002E-10</v>
      </c>
      <c r="L147">
        <v>5985</v>
      </c>
      <c r="M147">
        <v>0</v>
      </c>
      <c r="N147">
        <v>5985</v>
      </c>
      <c r="O147">
        <v>1</v>
      </c>
    </row>
    <row r="148" spans="1:15" x14ac:dyDescent="0.35">
      <c r="A148" t="s">
        <v>211</v>
      </c>
      <c r="B148">
        <v>10288</v>
      </c>
      <c r="C148">
        <v>10288</v>
      </c>
      <c r="D148">
        <v>25027</v>
      </c>
      <c r="E148">
        <v>4915</v>
      </c>
      <c r="F148">
        <v>10749</v>
      </c>
      <c r="G148">
        <v>23230</v>
      </c>
      <c r="H148">
        <v>0.54489245500000005</v>
      </c>
      <c r="I148">
        <v>0.92503683999999997</v>
      </c>
      <c r="J148">
        <v>0.87241229300000001</v>
      </c>
      <c r="K148">
        <v>0.78078052899999995</v>
      </c>
      <c r="L148">
        <v>45603</v>
      </c>
      <c r="M148">
        <v>38894</v>
      </c>
      <c r="N148">
        <v>6709</v>
      </c>
      <c r="O148">
        <v>0.147117514</v>
      </c>
    </row>
    <row r="149" spans="1:15" x14ac:dyDescent="0.35">
      <c r="A149" t="s">
        <v>212</v>
      </c>
      <c r="B149">
        <v>4438</v>
      </c>
      <c r="C149">
        <v>5145</v>
      </c>
      <c r="D149">
        <v>24016</v>
      </c>
      <c r="E149">
        <v>2570</v>
      </c>
      <c r="F149">
        <v>3606</v>
      </c>
      <c r="G149">
        <v>5322</v>
      </c>
      <c r="H149">
        <v>0.61843607300000003</v>
      </c>
      <c r="I149">
        <v>0.66758084799999995</v>
      </c>
      <c r="J149">
        <v>0.35810212000000002</v>
      </c>
      <c r="K149">
        <v>0.54803968000000003</v>
      </c>
      <c r="L149">
        <v>33599</v>
      </c>
      <c r="M149">
        <v>11498</v>
      </c>
      <c r="N149">
        <v>22101</v>
      </c>
      <c r="O149">
        <v>0.65778743399999995</v>
      </c>
    </row>
    <row r="150" spans="1:15" x14ac:dyDescent="0.35">
      <c r="A150" t="s">
        <v>213</v>
      </c>
      <c r="B150">
        <v>1940</v>
      </c>
      <c r="C150">
        <v>1940</v>
      </c>
      <c r="D150">
        <v>9316</v>
      </c>
      <c r="E150">
        <v>0</v>
      </c>
      <c r="F150">
        <v>522</v>
      </c>
      <c r="G150">
        <v>917</v>
      </c>
      <c r="H150" s="1">
        <v>5.1499999999999998E-10</v>
      </c>
      <c r="I150" s="1">
        <v>4.0599999999999999E-10</v>
      </c>
      <c r="J150" s="1">
        <v>9.7699999999999996E-11</v>
      </c>
      <c r="K150" s="1">
        <v>3.4000000000000001E-10</v>
      </c>
      <c r="L150">
        <v>13196</v>
      </c>
      <c r="M150">
        <v>1439</v>
      </c>
      <c r="N150">
        <v>11757</v>
      </c>
      <c r="O150">
        <v>0.89095180399999996</v>
      </c>
    </row>
    <row r="151" spans="1:15" x14ac:dyDescent="0.35">
      <c r="A151" t="s">
        <v>214</v>
      </c>
      <c r="B151">
        <v>329</v>
      </c>
      <c r="C151">
        <v>329</v>
      </c>
      <c r="D151">
        <v>425</v>
      </c>
      <c r="E151">
        <v>0</v>
      </c>
      <c r="F151">
        <v>262</v>
      </c>
      <c r="G151">
        <v>879</v>
      </c>
      <c r="H151" s="1">
        <v>3.0399999999999998E-9</v>
      </c>
      <c r="I151" s="1">
        <v>1.69E-9</v>
      </c>
      <c r="J151" s="1">
        <v>7.6700000000000004E-10</v>
      </c>
      <c r="K151" s="1">
        <v>1.8300000000000001E-9</v>
      </c>
      <c r="L151">
        <v>1083</v>
      </c>
      <c r="M151">
        <v>1141</v>
      </c>
      <c r="N151">
        <v>58</v>
      </c>
      <c r="O151">
        <v>5.3554940000000002E-2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"/>
  <sheetViews>
    <sheetView workbookViewId="0">
      <selection activeCell="H13" sqref="H13"/>
    </sheetView>
  </sheetViews>
  <sheetFormatPr defaultRowHeight="14.5" x14ac:dyDescent="0.35"/>
  <cols>
    <col min="1" max="1" width="22.08984375" customWidth="1"/>
    <col min="2" max="6" width="10.6328125" style="7" customWidth="1"/>
    <col min="9" max="9" width="12.453125" bestFit="1" customWidth="1"/>
    <col min="10" max="10" width="17.26953125" bestFit="1" customWidth="1"/>
    <col min="11" max="11" width="12.453125" bestFit="1" customWidth="1"/>
    <col min="12" max="12" width="13.54296875" bestFit="1" customWidth="1"/>
    <col min="13" max="13" width="12.453125" bestFit="1" customWidth="1"/>
    <col min="14" max="14" width="11.81640625" bestFit="1" customWidth="1"/>
    <col min="15" max="15" width="12.453125" bestFit="1" customWidth="1"/>
    <col min="16" max="16" width="11.81640625" bestFit="1" customWidth="1"/>
    <col min="17" max="17" width="12.453125" bestFit="1" customWidth="1"/>
    <col min="18" max="18" width="12" bestFit="1" customWidth="1"/>
  </cols>
  <sheetData>
    <row r="1" spans="1:6" x14ac:dyDescent="0.35">
      <c r="A1" s="2" t="s">
        <v>0</v>
      </c>
    </row>
    <row r="3" spans="1:6" x14ac:dyDescent="0.35">
      <c r="A3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x14ac:dyDescent="0.35">
      <c r="A4" t="s">
        <v>7</v>
      </c>
      <c r="B4" s="7">
        <f>AVERAGE(Table1[dice_TC])</f>
        <v>0.59469165453289685</v>
      </c>
      <c r="C4" s="7">
        <f>_xlfn.STDEV.P(Table1[dice_TC])</f>
        <v>0.34894617402952366</v>
      </c>
      <c r="D4" s="7">
        <f>MEDIAN(Table1[dice_TC])</f>
        <v>0.75146178699999999</v>
      </c>
      <c r="E4" s="7">
        <f>MIN(Table1[dice_TC])</f>
        <v>4.8699999999999997E-11</v>
      </c>
      <c r="F4" s="7">
        <f>MAX(Table1[dice_TC])</f>
        <v>0.953694865</v>
      </c>
    </row>
    <row r="5" spans="1:6" x14ac:dyDescent="0.35">
      <c r="A5" t="s">
        <v>8</v>
      </c>
      <c r="B5" s="7">
        <f>AVERAGE(Table1[dice_WT])</f>
        <v>0.68921448193084611</v>
      </c>
      <c r="C5" s="7">
        <f>_xlfn.STDEV.P(Table1[dice_WT])</f>
        <v>0.31401281398323</v>
      </c>
      <c r="D5" s="7">
        <f>MEDIAN(Table1[dice_WT])</f>
        <v>0.83934518849999995</v>
      </c>
      <c r="E5" s="7">
        <f>MIN(Table1[dice_WT])</f>
        <v>4.38E-11</v>
      </c>
      <c r="F5" s="7">
        <f>MAX(Table1[dice_WT])</f>
        <v>0.95443433099999997</v>
      </c>
    </row>
    <row r="6" spans="1:6" x14ac:dyDescent="0.35">
      <c r="A6" t="s">
        <v>9</v>
      </c>
      <c r="B6" s="7">
        <f>AVERAGE(Table1[dice_ET])</f>
        <v>0.50791029886091754</v>
      </c>
      <c r="C6" s="7">
        <f>_xlfn.STDEV.P(Table1[dice_ET])</f>
        <v>0.326701300371671</v>
      </c>
      <c r="D6" s="7">
        <f>MEDIAN(Table1[dice_ET])</f>
        <v>0.63727865849999998</v>
      </c>
      <c r="E6" s="7">
        <f>MIN(Table1[dice_ET])</f>
        <v>5.9000000000000003E-11</v>
      </c>
      <c r="F6" s="7">
        <f>MAX(Table1[dice_ET])</f>
        <v>1</v>
      </c>
    </row>
    <row r="7" spans="1:6" x14ac:dyDescent="0.35">
      <c r="A7" t="s">
        <v>10</v>
      </c>
      <c r="B7" s="7">
        <f>AVERAGE(Table1[dice_mean])</f>
        <v>0.59727214505005133</v>
      </c>
      <c r="C7" s="7">
        <f>_xlfn.STDEV.P(Table1[dice_mean])</f>
        <v>0.30573681886194987</v>
      </c>
      <c r="D7" s="7">
        <f>MEDIAN(Table1[dice_mean])</f>
        <v>0.71833848749999996</v>
      </c>
      <c r="E7" s="7">
        <f>MIN(Table1[dice_mean])</f>
        <v>5.1200000000000002E-11</v>
      </c>
      <c r="F7" s="7">
        <f>MAX(Table1[dice_mean])</f>
        <v>0.92428230899999997</v>
      </c>
    </row>
    <row r="9" spans="1:6" x14ac:dyDescent="0.35">
      <c r="A9" s="2" t="s">
        <v>11</v>
      </c>
    </row>
    <row r="11" spans="1:6" x14ac:dyDescent="0.35">
      <c r="A11" t="s">
        <v>12</v>
      </c>
      <c r="B11" s="7" t="s">
        <v>13</v>
      </c>
    </row>
    <row r="12" spans="1:6" x14ac:dyDescent="0.35">
      <c r="A12" t="s">
        <v>14</v>
      </c>
      <c r="B12" s="7">
        <f>PEARSON(Table1[gt_TC],Table1[pred_TC])</f>
        <v>0.907687227728466</v>
      </c>
    </row>
    <row r="13" spans="1:6" x14ac:dyDescent="0.35">
      <c r="A13" t="s">
        <v>15</v>
      </c>
      <c r="B13" s="7">
        <f>PEARSON(Table1[gt_WT],Table1[pred_WT])</f>
        <v>0.87864878013268322</v>
      </c>
    </row>
    <row r="14" spans="1:6" x14ac:dyDescent="0.35">
      <c r="A14" t="s">
        <v>16</v>
      </c>
      <c r="B14" s="7">
        <f>PEARSON(Table1[gt_ET],Table1[pred_ET])</f>
        <v>0.8033500132307031</v>
      </c>
    </row>
    <row r="15" spans="1:6" x14ac:dyDescent="0.35">
      <c r="A15" t="s">
        <v>17</v>
      </c>
      <c r="B15" s="7">
        <f>PEARSON(Table1[gt_total],Table1[pred_total])</f>
        <v>0.89237797978340527</v>
      </c>
    </row>
    <row r="17" spans="1:18" x14ac:dyDescent="0.35">
      <c r="A17" s="2" t="s">
        <v>18</v>
      </c>
      <c r="J17" t="s">
        <v>22</v>
      </c>
    </row>
    <row r="18" spans="1:18" ht="15" thickBot="1" x14ac:dyDescent="0.4"/>
    <row r="19" spans="1:18" x14ac:dyDescent="0.35">
      <c r="A19" t="s">
        <v>1</v>
      </c>
      <c r="B19" s="7" t="s">
        <v>19</v>
      </c>
      <c r="C19" s="7" t="s">
        <v>20</v>
      </c>
      <c r="D19" s="7" t="s">
        <v>21</v>
      </c>
      <c r="J19" s="6" t="s">
        <v>23</v>
      </c>
      <c r="K19" s="6"/>
    </row>
    <row r="20" spans="1:18" x14ac:dyDescent="0.35">
      <c r="A20" t="s">
        <v>7</v>
      </c>
      <c r="B20" s="7">
        <f>K34</f>
        <v>0.93139999860670386</v>
      </c>
      <c r="C20" s="7">
        <f>K33</f>
        <v>-812.33626511467264</v>
      </c>
      <c r="D20" s="7">
        <f>K21</f>
        <v>0.82389610338138752</v>
      </c>
      <c r="J20" s="3" t="s">
        <v>25</v>
      </c>
      <c r="K20" s="3">
        <v>0.90768722772846566</v>
      </c>
    </row>
    <row r="21" spans="1:18" x14ac:dyDescent="0.35">
      <c r="A21" t="s">
        <v>8</v>
      </c>
      <c r="B21" s="7">
        <f>K54</f>
        <v>0.86776785318862448</v>
      </c>
      <c r="C21" s="7">
        <f>K53</f>
        <v>-1883.7320173615371</v>
      </c>
      <c r="D21" s="7">
        <f>K41</f>
        <v>0.7720236788286523</v>
      </c>
      <c r="J21" s="3" t="s">
        <v>21</v>
      </c>
      <c r="K21" s="3">
        <v>0.82389610338138752</v>
      </c>
    </row>
    <row r="22" spans="1:18" x14ac:dyDescent="0.35">
      <c r="A22" t="s">
        <v>9</v>
      </c>
      <c r="B22" s="7">
        <f>K74</f>
        <v>0.66767377043412557</v>
      </c>
      <c r="C22" s="7">
        <f>K73</f>
        <v>-522.34079489901342</v>
      </c>
      <c r="D22" s="7">
        <f>K61</f>
        <v>0.64537124375776955</v>
      </c>
      <c r="J22" s="3" t="s">
        <v>27</v>
      </c>
      <c r="K22" s="3">
        <v>0.82270621218801843</v>
      </c>
    </row>
    <row r="23" spans="1:18" x14ac:dyDescent="0.35">
      <c r="A23" t="s">
        <v>24</v>
      </c>
      <c r="B23" s="7">
        <f>K94</f>
        <v>0.8892216792173373</v>
      </c>
      <c r="C23" s="7">
        <f>K93</f>
        <v>-5724.0651548851383</v>
      </c>
      <c r="D23" s="7">
        <f>K81</f>
        <v>0.79633845880231113</v>
      </c>
      <c r="J23" s="3" t="s">
        <v>28</v>
      </c>
      <c r="K23" s="3">
        <v>4443.6537130477391</v>
      </c>
    </row>
    <row r="24" spans="1:18" ht="15" thickBot="1" x14ac:dyDescent="0.4">
      <c r="J24" s="4" t="s">
        <v>30</v>
      </c>
      <c r="K24" s="4">
        <v>150</v>
      </c>
    </row>
    <row r="25" spans="1:18" x14ac:dyDescent="0.35">
      <c r="A25" s="2" t="s">
        <v>26</v>
      </c>
    </row>
    <row r="26" spans="1:18" ht="15" thickBot="1" x14ac:dyDescent="0.4">
      <c r="J26" t="s">
        <v>31</v>
      </c>
    </row>
    <row r="27" spans="1:18" x14ac:dyDescent="0.35">
      <c r="A27" t="s">
        <v>1</v>
      </c>
      <c r="B27" s="7" t="s">
        <v>29</v>
      </c>
      <c r="J27" s="5"/>
      <c r="K27" s="5" t="s">
        <v>32</v>
      </c>
      <c r="L27" s="5" t="s">
        <v>33</v>
      </c>
      <c r="M27" s="5" t="s">
        <v>34</v>
      </c>
      <c r="N27" s="5" t="s">
        <v>35</v>
      </c>
      <c r="O27" s="5" t="s">
        <v>36</v>
      </c>
    </row>
    <row r="28" spans="1:18" x14ac:dyDescent="0.35">
      <c r="A28" t="s">
        <v>7</v>
      </c>
      <c r="B28" s="8">
        <f>COUNTIFS(Table1[pred_TC], 0, Table1[gt_TC], "&gt;0")</f>
        <v>12</v>
      </c>
      <c r="J28" s="3" t="s">
        <v>37</v>
      </c>
      <c r="K28" s="3">
        <v>1</v>
      </c>
      <c r="L28" s="3">
        <v>13672427024.313856</v>
      </c>
      <c r="M28" s="3">
        <v>13672427024.313856</v>
      </c>
      <c r="N28" s="3">
        <v>692.41297689467365</v>
      </c>
      <c r="O28" s="3">
        <v>1.1077101496493252E-57</v>
      </c>
    </row>
    <row r="29" spans="1:18" x14ac:dyDescent="0.35">
      <c r="A29" t="s">
        <v>8</v>
      </c>
      <c r="B29" s="8">
        <f>COUNTIFS(Table1[pred_WT], 0, Table1[gt_WT], "&gt;0")</f>
        <v>3</v>
      </c>
      <c r="J29" s="3" t="s">
        <v>39</v>
      </c>
      <c r="K29" s="3">
        <v>148</v>
      </c>
      <c r="L29" s="3">
        <v>2922416631.5794778</v>
      </c>
      <c r="M29" s="3">
        <v>19746058.321482956</v>
      </c>
      <c r="N29" s="3"/>
      <c r="O29" s="3"/>
    </row>
    <row r="30" spans="1:18" ht="15" thickBot="1" x14ac:dyDescent="0.4">
      <c r="A30" t="s">
        <v>9</v>
      </c>
      <c r="B30" s="8">
        <f>COUNTIFS(Table1[pred_ET], 0, Table1[gt_ET], "&gt;0")</f>
        <v>22</v>
      </c>
      <c r="J30" s="4" t="s">
        <v>24</v>
      </c>
      <c r="K30" s="4">
        <v>149</v>
      </c>
      <c r="L30" s="4">
        <v>16594843655.893333</v>
      </c>
      <c r="M30" s="4"/>
      <c r="N30" s="4"/>
      <c r="O30" s="4"/>
    </row>
    <row r="31" spans="1:18" ht="15" thickBot="1" x14ac:dyDescent="0.4"/>
    <row r="32" spans="1:18" x14ac:dyDescent="0.35">
      <c r="A32" s="2" t="s">
        <v>38</v>
      </c>
      <c r="J32" s="5"/>
      <c r="K32" s="5" t="s">
        <v>42</v>
      </c>
      <c r="L32" s="5" t="s">
        <v>28</v>
      </c>
      <c r="M32" s="5" t="s">
        <v>43</v>
      </c>
      <c r="N32" s="5" t="s">
        <v>44</v>
      </c>
      <c r="O32" s="5" t="s">
        <v>45</v>
      </c>
      <c r="P32" s="5" t="s">
        <v>46</v>
      </c>
      <c r="Q32" s="5" t="s">
        <v>47</v>
      </c>
      <c r="R32" s="5" t="s">
        <v>48</v>
      </c>
    </row>
    <row r="33" spans="1:18" x14ac:dyDescent="0.35">
      <c r="J33" s="3" t="s">
        <v>20</v>
      </c>
      <c r="K33" s="3">
        <v>-812.33626511467264</v>
      </c>
      <c r="L33" s="3">
        <v>524.06176550678094</v>
      </c>
      <c r="M33" s="3">
        <v>-1.5500773355009461</v>
      </c>
      <c r="N33" s="3">
        <v>0.12325870699938482</v>
      </c>
      <c r="O33" s="3">
        <v>-1847.9465079755535</v>
      </c>
      <c r="P33" s="3">
        <v>223.27397774620817</v>
      </c>
      <c r="Q33" s="3">
        <v>-1847.9465079755535</v>
      </c>
      <c r="R33" s="3">
        <v>223.27397774620817</v>
      </c>
    </row>
    <row r="34" spans="1:18" ht="15" thickBot="1" x14ac:dyDescent="0.4">
      <c r="A34" t="s">
        <v>40</v>
      </c>
      <c r="B34" s="7" t="s">
        <v>41</v>
      </c>
      <c r="J34" s="4" t="s">
        <v>50</v>
      </c>
      <c r="K34" s="4">
        <v>0.93139999860670386</v>
      </c>
      <c r="L34" s="4">
        <v>3.5395954945585714E-2</v>
      </c>
      <c r="M34" s="4">
        <v>26.313741218129227</v>
      </c>
      <c r="N34" s="4">
        <v>1.1077101496493883E-57</v>
      </c>
      <c r="O34" s="4">
        <v>0.86145325585579335</v>
      </c>
      <c r="P34" s="4">
        <v>1.0013467413576145</v>
      </c>
      <c r="Q34" s="4">
        <v>0.86145325585579335</v>
      </c>
      <c r="R34" s="4">
        <v>1.0013467413576145</v>
      </c>
    </row>
    <row r="35" spans="1:18" x14ac:dyDescent="0.35">
      <c r="A35" t="s">
        <v>2</v>
      </c>
      <c r="B35" s="7">
        <f>AVERAGE(Table1[volume_error_rel])</f>
        <v>0.29637949842666661</v>
      </c>
    </row>
    <row r="36" spans="1:18" x14ac:dyDescent="0.35">
      <c r="A36" t="s">
        <v>4</v>
      </c>
      <c r="B36" s="7">
        <f>MEDIAN(Table1[volume_error_rel])</f>
        <v>0.1641797485</v>
      </c>
    </row>
    <row r="37" spans="1:18" x14ac:dyDescent="0.35">
      <c r="A37" t="s">
        <v>49</v>
      </c>
      <c r="B37" s="7">
        <f>_xlfn.PERCENTILE.INC(Table1[volume_error_rel],0.75)</f>
        <v>0.46133214275000001</v>
      </c>
      <c r="J37" t="s">
        <v>22</v>
      </c>
    </row>
    <row r="38" spans="1:18" ht="15" thickBot="1" x14ac:dyDescent="0.4">
      <c r="A38" t="s">
        <v>6</v>
      </c>
      <c r="B38" s="7">
        <f>MAX(Table1[volume_error_rel])</f>
        <v>1</v>
      </c>
    </row>
    <row r="39" spans="1:18" x14ac:dyDescent="0.35">
      <c r="J39" s="6" t="s">
        <v>23</v>
      </c>
      <c r="K39" s="6"/>
    </row>
    <row r="40" spans="1:18" x14ac:dyDescent="0.35">
      <c r="J40" s="3" t="s">
        <v>25</v>
      </c>
      <c r="K40" s="3">
        <v>0.87864878013268322</v>
      </c>
    </row>
    <row r="41" spans="1:18" x14ac:dyDescent="0.35">
      <c r="J41" s="3" t="s">
        <v>21</v>
      </c>
      <c r="K41" s="3">
        <v>0.7720236788286523</v>
      </c>
    </row>
    <row r="42" spans="1:18" x14ac:dyDescent="0.35">
      <c r="J42" s="3" t="s">
        <v>27</v>
      </c>
      <c r="K42" s="3">
        <v>0.77048329828019724</v>
      </c>
    </row>
    <row r="43" spans="1:18" x14ac:dyDescent="0.35">
      <c r="J43" s="3" t="s">
        <v>28</v>
      </c>
      <c r="K43" s="3">
        <v>13160.192908411729</v>
      </c>
    </row>
    <row r="44" spans="1:18" ht="15" thickBot="1" x14ac:dyDescent="0.4">
      <c r="J44" s="4" t="s">
        <v>30</v>
      </c>
      <c r="K44" s="4">
        <v>150</v>
      </c>
    </row>
    <row r="46" spans="1:18" ht="15" thickBot="1" x14ac:dyDescent="0.4">
      <c r="J46" t="s">
        <v>31</v>
      </c>
    </row>
    <row r="47" spans="1:18" x14ac:dyDescent="0.35">
      <c r="J47" s="5"/>
      <c r="K47" s="5" t="s">
        <v>32</v>
      </c>
      <c r="L47" s="5" t="s">
        <v>33</v>
      </c>
      <c r="M47" s="5" t="s">
        <v>34</v>
      </c>
      <c r="N47" s="5" t="s">
        <v>35</v>
      </c>
      <c r="O47" s="5" t="s">
        <v>36</v>
      </c>
    </row>
    <row r="48" spans="1:18" x14ac:dyDescent="0.35">
      <c r="J48" s="3" t="s">
        <v>37</v>
      </c>
      <c r="K48" s="3">
        <v>1</v>
      </c>
      <c r="L48" s="3">
        <v>86801475147.775024</v>
      </c>
      <c r="M48" s="3">
        <v>86801475147.775024</v>
      </c>
      <c r="N48" s="3">
        <v>501.19022835166635</v>
      </c>
      <c r="O48" s="3">
        <v>2.2659497452954517E-49</v>
      </c>
    </row>
    <row r="49" spans="10:18" x14ac:dyDescent="0.35">
      <c r="J49" s="3" t="s">
        <v>39</v>
      </c>
      <c r="K49" s="3">
        <v>148</v>
      </c>
      <c r="L49" s="3">
        <v>25632220253.218334</v>
      </c>
      <c r="M49" s="3">
        <v>173190677.38661036</v>
      </c>
      <c r="N49" s="3"/>
      <c r="O49" s="3"/>
    </row>
    <row r="50" spans="10:18" ht="15" thickBot="1" x14ac:dyDescent="0.4">
      <c r="J50" s="4" t="s">
        <v>24</v>
      </c>
      <c r="K50" s="4">
        <v>149</v>
      </c>
      <c r="L50" s="4">
        <v>112433695400.99336</v>
      </c>
      <c r="M50" s="4"/>
      <c r="N50" s="4"/>
      <c r="O50" s="4"/>
    </row>
    <row r="51" spans="10:18" ht="15" thickBot="1" x14ac:dyDescent="0.4"/>
    <row r="52" spans="10:18" x14ac:dyDescent="0.35">
      <c r="J52" s="5"/>
      <c r="K52" s="5" t="s">
        <v>42</v>
      </c>
      <c r="L52" s="5" t="s">
        <v>28</v>
      </c>
      <c r="M52" s="5" t="s">
        <v>43</v>
      </c>
      <c r="N52" s="5" t="s">
        <v>44</v>
      </c>
      <c r="O52" s="5" t="s">
        <v>45</v>
      </c>
      <c r="P52" s="5" t="s">
        <v>46</v>
      </c>
      <c r="Q52" s="5" t="s">
        <v>47</v>
      </c>
      <c r="R52" s="5" t="s">
        <v>48</v>
      </c>
    </row>
    <row r="53" spans="10:18" x14ac:dyDescent="0.35">
      <c r="J53" s="3" t="s">
        <v>20</v>
      </c>
      <c r="K53" s="3">
        <v>-1883.7320173615371</v>
      </c>
      <c r="L53" s="3">
        <v>1901.3458846708802</v>
      </c>
      <c r="M53" s="3">
        <v>-0.99073610569683801</v>
      </c>
      <c r="N53" s="3">
        <v>0.32343145593562816</v>
      </c>
      <c r="O53" s="3">
        <v>-5641.0243881995857</v>
      </c>
      <c r="P53" s="3">
        <v>1873.5603534765114</v>
      </c>
      <c r="Q53" s="3">
        <v>-5641.0243881995857</v>
      </c>
      <c r="R53" s="3">
        <v>1873.5603534765114</v>
      </c>
    </row>
    <row r="54" spans="10:18" ht="15" thickBot="1" x14ac:dyDescent="0.4">
      <c r="J54" s="4" t="s">
        <v>51</v>
      </c>
      <c r="K54" s="4">
        <v>0.86776785318862448</v>
      </c>
      <c r="L54" s="4">
        <v>3.8761650376231818E-2</v>
      </c>
      <c r="M54" s="4">
        <v>22.387278270295976</v>
      </c>
      <c r="N54" s="4">
        <v>2.2659497452954194E-49</v>
      </c>
      <c r="O54" s="4">
        <v>0.79117008399056121</v>
      </c>
      <c r="P54" s="4">
        <v>0.94436562238668775</v>
      </c>
      <c r="Q54" s="4">
        <v>0.79117008399056121</v>
      </c>
      <c r="R54" s="4">
        <v>0.94436562238668775</v>
      </c>
    </row>
    <row r="57" spans="10:18" x14ac:dyDescent="0.35">
      <c r="J57" t="s">
        <v>22</v>
      </c>
    </row>
    <row r="58" spans="10:18" ht="15" thickBot="1" x14ac:dyDescent="0.4"/>
    <row r="59" spans="10:18" x14ac:dyDescent="0.35">
      <c r="J59" s="6" t="s">
        <v>23</v>
      </c>
      <c r="K59" s="6"/>
    </row>
    <row r="60" spans="10:18" x14ac:dyDescent="0.35">
      <c r="J60" s="3" t="s">
        <v>25</v>
      </c>
      <c r="K60" s="3">
        <v>0.80335001323070232</v>
      </c>
    </row>
    <row r="61" spans="10:18" x14ac:dyDescent="0.35">
      <c r="J61" s="3" t="s">
        <v>21</v>
      </c>
      <c r="K61" s="3">
        <v>0.64537124375776955</v>
      </c>
    </row>
    <row r="62" spans="10:18" x14ac:dyDescent="0.35">
      <c r="J62" s="3" t="s">
        <v>27</v>
      </c>
      <c r="K62" s="3">
        <v>0.64297510351288967</v>
      </c>
    </row>
    <row r="63" spans="10:18" x14ac:dyDescent="0.35">
      <c r="J63" s="3" t="s">
        <v>28</v>
      </c>
      <c r="K63" s="3">
        <v>4049.8721690557959</v>
      </c>
    </row>
    <row r="64" spans="10:18" ht="15" thickBot="1" x14ac:dyDescent="0.4">
      <c r="J64" s="4" t="s">
        <v>30</v>
      </c>
      <c r="K64" s="4">
        <v>150</v>
      </c>
    </row>
    <row r="66" spans="10:18" ht="15" thickBot="1" x14ac:dyDescent="0.4">
      <c r="J66" t="s">
        <v>31</v>
      </c>
    </row>
    <row r="67" spans="10:18" x14ac:dyDescent="0.35">
      <c r="J67" s="5"/>
      <c r="K67" s="5" t="s">
        <v>32</v>
      </c>
      <c r="L67" s="5" t="s">
        <v>33</v>
      </c>
      <c r="M67" s="5" t="s">
        <v>34</v>
      </c>
      <c r="N67" s="5" t="s">
        <v>35</v>
      </c>
      <c r="O67" s="5" t="s">
        <v>36</v>
      </c>
    </row>
    <row r="68" spans="10:18" x14ac:dyDescent="0.35">
      <c r="J68" s="3" t="s">
        <v>37</v>
      </c>
      <c r="K68" s="3">
        <v>1</v>
      </c>
      <c r="L68" s="3">
        <v>4417535084.4908066</v>
      </c>
      <c r="M68" s="3">
        <v>4417535084.4908066</v>
      </c>
      <c r="N68" s="3">
        <v>269.33784244757658</v>
      </c>
      <c r="O68" s="3">
        <v>3.9162116794844789E-35</v>
      </c>
    </row>
    <row r="69" spans="10:18" x14ac:dyDescent="0.35">
      <c r="J69" s="3" t="s">
        <v>39</v>
      </c>
      <c r="K69" s="3">
        <v>148</v>
      </c>
      <c r="L69" s="3">
        <v>2427416758.682519</v>
      </c>
      <c r="M69" s="3">
        <v>16401464.585692696</v>
      </c>
      <c r="N69" s="3"/>
      <c r="O69" s="3"/>
    </row>
    <row r="70" spans="10:18" ht="15" thickBot="1" x14ac:dyDescent="0.4">
      <c r="J70" s="4" t="s">
        <v>24</v>
      </c>
      <c r="K70" s="4">
        <v>149</v>
      </c>
      <c r="L70" s="4">
        <v>6844951843.1733255</v>
      </c>
      <c r="M70" s="4"/>
      <c r="N70" s="4"/>
      <c r="O70" s="4"/>
    </row>
    <row r="71" spans="10:18" ht="15" thickBot="1" x14ac:dyDescent="0.4"/>
    <row r="72" spans="10:18" x14ac:dyDescent="0.35">
      <c r="J72" s="5"/>
      <c r="K72" s="5" t="s">
        <v>42</v>
      </c>
      <c r="L72" s="5" t="s">
        <v>28</v>
      </c>
      <c r="M72" s="5" t="s">
        <v>43</v>
      </c>
      <c r="N72" s="5" t="s">
        <v>44</v>
      </c>
      <c r="O72" s="5" t="s">
        <v>45</v>
      </c>
      <c r="P72" s="5" t="s">
        <v>46</v>
      </c>
      <c r="Q72" s="5" t="s">
        <v>47</v>
      </c>
      <c r="R72" s="5" t="s">
        <v>48</v>
      </c>
    </row>
    <row r="73" spans="10:18" x14ac:dyDescent="0.35">
      <c r="J73" s="3" t="s">
        <v>20</v>
      </c>
      <c r="K73" s="3">
        <v>-522.34079489901342</v>
      </c>
      <c r="L73" s="3">
        <v>506.32754575212425</v>
      </c>
      <c r="M73" s="3">
        <v>-1.0316262650160624</v>
      </c>
      <c r="N73" s="3">
        <v>0.30393011623087146</v>
      </c>
      <c r="O73" s="3">
        <v>-1522.9060471960279</v>
      </c>
      <c r="P73" s="3">
        <v>478.22445739800105</v>
      </c>
      <c r="Q73" s="3">
        <v>-1522.9060471960279</v>
      </c>
      <c r="R73" s="3">
        <v>478.22445739800105</v>
      </c>
    </row>
    <row r="74" spans="10:18" ht="15" thickBot="1" x14ac:dyDescent="0.4">
      <c r="J74" s="4" t="s">
        <v>52</v>
      </c>
      <c r="K74" s="4">
        <v>0.66767377043412557</v>
      </c>
      <c r="L74" s="4">
        <v>4.0683248822952878E-2</v>
      </c>
      <c r="M74" s="4">
        <v>16.411515543897124</v>
      </c>
      <c r="N74" s="4">
        <v>3.9162116794841993E-35</v>
      </c>
      <c r="O74" s="4">
        <v>0.58727868732180355</v>
      </c>
      <c r="P74" s="4">
        <v>0.74806885354644759</v>
      </c>
      <c r="Q74" s="4">
        <v>0.58727868732180355</v>
      </c>
      <c r="R74" s="4">
        <v>0.74806885354644759</v>
      </c>
    </row>
    <row r="77" spans="10:18" x14ac:dyDescent="0.35">
      <c r="J77" t="s">
        <v>22</v>
      </c>
    </row>
    <row r="78" spans="10:18" ht="15" thickBot="1" x14ac:dyDescent="0.4"/>
    <row r="79" spans="10:18" x14ac:dyDescent="0.35">
      <c r="J79" s="6" t="s">
        <v>23</v>
      </c>
      <c r="K79" s="6"/>
    </row>
    <row r="80" spans="10:18" x14ac:dyDescent="0.35">
      <c r="J80" s="3" t="s">
        <v>25</v>
      </c>
      <c r="K80" s="3">
        <v>0.89237797978340494</v>
      </c>
    </row>
    <row r="81" spans="10:18" x14ac:dyDescent="0.35">
      <c r="J81" s="3" t="s">
        <v>21</v>
      </c>
      <c r="K81" s="3">
        <v>0.79633845880231113</v>
      </c>
    </row>
    <row r="82" spans="10:18" x14ac:dyDescent="0.35">
      <c r="J82" s="3" t="s">
        <v>27</v>
      </c>
      <c r="K82" s="3">
        <v>0.79496236730773218</v>
      </c>
    </row>
    <row r="83" spans="10:18" x14ac:dyDescent="0.35">
      <c r="J83" s="3" t="s">
        <v>28</v>
      </c>
      <c r="K83" s="3">
        <v>18906.258885212341</v>
      </c>
    </row>
    <row r="84" spans="10:18" ht="15" thickBot="1" x14ac:dyDescent="0.4">
      <c r="J84" s="4" t="s">
        <v>30</v>
      </c>
      <c r="K84" s="4">
        <v>150</v>
      </c>
    </row>
    <row r="86" spans="10:18" ht="15" thickBot="1" x14ac:dyDescent="0.4">
      <c r="J86" t="s">
        <v>31</v>
      </c>
    </row>
    <row r="87" spans="10:18" x14ac:dyDescent="0.35">
      <c r="J87" s="5"/>
      <c r="K87" s="5" t="s">
        <v>32</v>
      </c>
      <c r="L87" s="5" t="s">
        <v>33</v>
      </c>
      <c r="M87" s="5" t="s">
        <v>34</v>
      </c>
      <c r="N87" s="5" t="s">
        <v>35</v>
      </c>
      <c r="O87" s="5" t="s">
        <v>36</v>
      </c>
    </row>
    <row r="88" spans="10:18" x14ac:dyDescent="0.35">
      <c r="J88" s="3" t="s">
        <v>37</v>
      </c>
      <c r="K88" s="3">
        <v>1</v>
      </c>
      <c r="L88" s="3">
        <v>206852884132.74203</v>
      </c>
      <c r="M88" s="3">
        <v>206852884132.74203</v>
      </c>
      <c r="N88" s="3">
        <v>578.6958657468881</v>
      </c>
      <c r="O88" s="3">
        <v>5.2973332528568587E-53</v>
      </c>
    </row>
    <row r="89" spans="10:18" x14ac:dyDescent="0.35">
      <c r="J89" s="3" t="s">
        <v>39</v>
      </c>
      <c r="K89" s="3">
        <v>148</v>
      </c>
      <c r="L89" s="3">
        <v>52902100505.131256</v>
      </c>
      <c r="M89" s="3">
        <v>357446625.03467065</v>
      </c>
      <c r="N89" s="3"/>
      <c r="O89" s="3"/>
    </row>
    <row r="90" spans="10:18" ht="15" thickBot="1" x14ac:dyDescent="0.4">
      <c r="J90" s="4" t="s">
        <v>24</v>
      </c>
      <c r="K90" s="4">
        <v>149</v>
      </c>
      <c r="L90" s="4">
        <v>259754984637.87329</v>
      </c>
      <c r="M90" s="4"/>
      <c r="N90" s="4"/>
      <c r="O90" s="4"/>
    </row>
    <row r="91" spans="10:18" ht="15" thickBot="1" x14ac:dyDescent="0.4"/>
    <row r="92" spans="10:18" x14ac:dyDescent="0.35">
      <c r="J92" s="5"/>
      <c r="K92" s="5" t="s">
        <v>42</v>
      </c>
      <c r="L92" s="5" t="s">
        <v>28</v>
      </c>
      <c r="M92" s="5" t="s">
        <v>43</v>
      </c>
      <c r="N92" s="5" t="s">
        <v>44</v>
      </c>
      <c r="O92" s="5" t="s">
        <v>45</v>
      </c>
      <c r="P92" s="5" t="s">
        <v>46</v>
      </c>
      <c r="Q92" s="5" t="s">
        <v>47</v>
      </c>
      <c r="R92" s="5" t="s">
        <v>48</v>
      </c>
    </row>
    <row r="93" spans="10:18" x14ac:dyDescent="0.35">
      <c r="J93" s="3" t="s">
        <v>20</v>
      </c>
      <c r="K93" s="3">
        <v>-5724.0651548851383</v>
      </c>
      <c r="L93" s="3">
        <v>2719.7211309513727</v>
      </c>
      <c r="M93" s="3">
        <v>-2.1046514989140928</v>
      </c>
      <c r="N93" s="3">
        <v>3.7011542447846643E-2</v>
      </c>
      <c r="O93" s="3">
        <v>-11098.567258114756</v>
      </c>
      <c r="P93" s="3">
        <v>-349.56305165552112</v>
      </c>
      <c r="Q93" s="3">
        <v>-11098.567258114756</v>
      </c>
      <c r="R93" s="3">
        <v>-349.56305165552112</v>
      </c>
    </row>
    <row r="94" spans="10:18" ht="15" thickBot="1" x14ac:dyDescent="0.4">
      <c r="J94" s="4" t="s">
        <v>53</v>
      </c>
      <c r="K94" s="4">
        <v>0.8892216792173373</v>
      </c>
      <c r="L94" s="4">
        <v>3.6964501386562057E-2</v>
      </c>
      <c r="M94" s="4">
        <v>24.05609830680962</v>
      </c>
      <c r="N94" s="4">
        <v>5.2973332528564822E-53</v>
      </c>
      <c r="O94" s="4">
        <v>0.81617529656213561</v>
      </c>
      <c r="P94" s="4">
        <v>0.96226806187253899</v>
      </c>
      <c r="Q94" s="4">
        <v>0.81617529656213561</v>
      </c>
      <c r="R94" s="4">
        <v>0.96226806187253899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Data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dcterms:created xsi:type="dcterms:W3CDTF">2025-11-11T16:02:49Z</dcterms:created>
  <dcterms:modified xsi:type="dcterms:W3CDTF">2025-11-11T16:24:46Z</dcterms:modified>
</cp:coreProperties>
</file>